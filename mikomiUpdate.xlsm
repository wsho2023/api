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4B286400-8FD8-4C83-B5FE-EC9E5346296C}" xr6:coauthVersionLast="47" xr6:coauthVersionMax="47" xr10:uidLastSave="{00000000-0000-0000-0000-000000000000}"/>
  <bookViews>
    <workbookView xWindow="6555" yWindow="1470" windowWidth="18525" windowHeight="11430" tabRatio="860" activeTab="4" xr2:uid="{5F1D7E0A-B170-4A30-BDA1-57B506CDB917}"/>
  </bookViews>
  <sheets>
    <sheet name="S10_検索画面" sheetId="73" r:id="rId1"/>
    <sheet name="S20_設定" sheetId="2" r:id="rId2"/>
    <sheet name="S22_リスト" sheetId="283" state="hidden" r:id="rId3"/>
    <sheet name="S30_元データ" sheetId="285" r:id="rId4"/>
    <sheet name="S40_結果画面" sheetId="286" r:id="rId5"/>
    <sheet name="S50_マスタ" sheetId="92" r:id="rId6"/>
    <sheet name="SQL" sheetId="287" r:id="rId7"/>
  </sheets>
  <functionGroups builtInGroupCount="19"/>
  <definedNames>
    <definedName name="Code1">S10_検索画面!$F$1</definedName>
    <definedName name="Code2">S10_検索画面!$M$1</definedName>
    <definedName name="Code3_1">S10_検索画面!$U$1</definedName>
    <definedName name="Code3_2">S10_検索画面!$W$1</definedName>
    <definedName name="Code3_3">S10_検索画面!$Y$1</definedName>
    <definedName name="S20_検索SQL">S20_設定!$A$2:$A$20</definedName>
    <definedName name="S22_リスト">S22_リスト!$A$2:$C$21</definedName>
    <definedName name="YOTEI">S10_検索画面!$F$2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2" l="1"/>
  <c r="A19" i="2" s="1"/>
  <c r="D2" i="286"/>
  <c r="J2" i="286"/>
  <c r="D1" i="286"/>
  <c r="F1" i="286"/>
  <c r="C16" i="2"/>
  <c r="A16" i="2" s="1"/>
  <c r="C18" i="2"/>
  <c r="A18" i="2" s="1"/>
  <c r="C17" i="2"/>
  <c r="A17" i="2" s="1"/>
  <c r="C4" i="92"/>
  <c r="C3" i="92"/>
</calcChain>
</file>

<file path=xl/sharedStrings.xml><?xml version="1.0" encoding="utf-8"?>
<sst xmlns="http://schemas.openxmlformats.org/spreadsheetml/2006/main" count="2127" uniqueCount="492">
  <si>
    <t>購入先</t>
  </si>
  <si>
    <t>品名</t>
  </si>
  <si>
    <t/>
  </si>
  <si>
    <t>null条件</t>
    <rPh sb="4" eb="6">
      <t>ジョウケン</t>
    </rPh>
    <phoneticPr fontId="1"/>
  </si>
  <si>
    <t>検索項目</t>
    <rPh sb="0" eb="4">
      <t>ケンサクコウモク</t>
    </rPh>
    <phoneticPr fontId="1"/>
  </si>
  <si>
    <t>前方一致</t>
    <rPh sb="0" eb="4">
      <t>ゼンポウイッチ</t>
    </rPh>
    <phoneticPr fontId="1"/>
  </si>
  <si>
    <t>購入先</t>
    <phoneticPr fontId="1"/>
  </si>
  <si>
    <t>品名</t>
    <phoneticPr fontId="1"/>
  </si>
  <si>
    <t>FLG</t>
    <phoneticPr fontId="1"/>
  </si>
  <si>
    <t>0</t>
    <phoneticPr fontId="1"/>
  </si>
  <si>
    <t>1</t>
    <phoneticPr fontId="1"/>
  </si>
  <si>
    <t>2</t>
    <phoneticPr fontId="1"/>
  </si>
  <si>
    <t>追加</t>
    <rPh sb="0" eb="2">
      <t>ツイカ</t>
    </rPh>
    <phoneticPr fontId="1"/>
  </si>
  <si>
    <t>削除</t>
    <rPh sb="0" eb="2">
      <t>サクジョ</t>
    </rPh>
    <phoneticPr fontId="1"/>
  </si>
  <si>
    <t>なし</t>
    <phoneticPr fontId="1"/>
  </si>
  <si>
    <r>
      <t>HINMEI 品名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</si>
  <si>
    <r>
      <t>CODE3 コード3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</si>
  <si>
    <t>コード1</t>
  </si>
  <si>
    <t>コード2</t>
  </si>
  <si>
    <t>コード3</t>
  </si>
  <si>
    <t>コード3</t>
    <phoneticPr fontId="1"/>
  </si>
  <si>
    <t>303</t>
  </si>
  <si>
    <t>310</t>
  </si>
  <si>
    <t>400</t>
  </si>
  <si>
    <t>410</t>
  </si>
  <si>
    <t>500</t>
  </si>
  <si>
    <t>510</t>
  </si>
  <si>
    <t>部門1</t>
    <rPh sb="0" eb="2">
      <t>ブモン</t>
    </rPh>
    <phoneticPr fontId="1"/>
  </si>
  <si>
    <t>部門2</t>
    <rPh sb="0" eb="2">
      <t>ブモン</t>
    </rPh>
    <phoneticPr fontId="1"/>
  </si>
  <si>
    <t>部門3</t>
    <rPh sb="0" eb="2">
      <t>ブモン</t>
    </rPh>
    <phoneticPr fontId="1"/>
  </si>
  <si>
    <t>部門4</t>
    <rPh sb="0" eb="2">
      <t>ブモン</t>
    </rPh>
    <phoneticPr fontId="1"/>
  </si>
  <si>
    <t>部門5</t>
    <rPh sb="0" eb="2">
      <t>ブモン</t>
    </rPh>
    <phoneticPr fontId="1"/>
  </si>
  <si>
    <t>部門6</t>
    <rPh sb="0" eb="2">
      <t>ブモン</t>
    </rPh>
    <phoneticPr fontId="1"/>
  </si>
  <si>
    <t>or Code1 is null</t>
    <phoneticPr fontId="1"/>
  </si>
  <si>
    <t>or Code2 is null</t>
    <phoneticPr fontId="1"/>
  </si>
  <si>
    <t>Code3</t>
    <phoneticPr fontId="1"/>
  </si>
  <si>
    <t>or Code3 is null</t>
    <phoneticPr fontId="1"/>
  </si>
  <si>
    <r>
      <t>where</t>
    </r>
    <r>
      <rPr>
        <sz val="10"/>
        <color theme="1"/>
        <rFont val="ＭＳ ゴシック"/>
        <family val="3"/>
        <charset val="128"/>
      </rPr>
      <t xml:space="preserve"> </t>
    </r>
    <phoneticPr fontId="1"/>
  </si>
  <si>
    <t xml:space="preserve">SELECT </t>
    <phoneticPr fontId="1"/>
  </si>
  <si>
    <t>Code</t>
    <phoneticPr fontId="1"/>
  </si>
  <si>
    <t>名称</t>
    <rPh sb="0" eb="2">
      <t>メイショウ</t>
    </rPh>
    <phoneticPr fontId="1"/>
  </si>
  <si>
    <t>年</t>
    <rPh sb="0" eb="1">
      <t>ネン</t>
    </rPh>
    <phoneticPr fontId="3"/>
  </si>
  <si>
    <t>月</t>
    <rPh sb="0" eb="1">
      <t>ツキ</t>
    </rPh>
    <phoneticPr fontId="3"/>
  </si>
  <si>
    <t>予定月</t>
    <rPh sb="0" eb="3">
      <t>ヨテイツキ</t>
    </rPh>
    <phoneticPr fontId="3"/>
  </si>
  <si>
    <t>2023</t>
  </si>
  <si>
    <t>04</t>
  </si>
  <si>
    <t>202304</t>
  </si>
  <si>
    <t>05</t>
  </si>
  <si>
    <t>202305</t>
  </si>
  <si>
    <t>06</t>
  </si>
  <si>
    <t>202306</t>
  </si>
  <si>
    <t>07</t>
  </si>
  <si>
    <t>202307</t>
  </si>
  <si>
    <t>08</t>
  </si>
  <si>
    <t>202308</t>
  </si>
  <si>
    <t>09</t>
  </si>
  <si>
    <t>202309</t>
  </si>
  <si>
    <t>10</t>
  </si>
  <si>
    <t>202310</t>
  </si>
  <si>
    <t>11</t>
  </si>
  <si>
    <t>202311</t>
  </si>
  <si>
    <t>12</t>
  </si>
  <si>
    <t>202312</t>
  </si>
  <si>
    <t>2024</t>
  </si>
  <si>
    <t>01</t>
  </si>
  <si>
    <t>202401</t>
  </si>
  <si>
    <t>02</t>
  </si>
  <si>
    <t>202402</t>
  </si>
  <si>
    <t>03</t>
  </si>
  <si>
    <t>202403</t>
  </si>
  <si>
    <r>
      <t>order</t>
    </r>
    <r>
      <rPr>
        <sz val="10"/>
        <color theme="1"/>
        <rFont val="ＭＳ ゴシック"/>
        <family val="3"/>
        <charset val="128"/>
      </rPr>
      <t xml:space="preserve"> </t>
    </r>
    <r>
      <rPr>
        <sz val="10"/>
        <color rgb="FF0080FF"/>
        <rFont val="ＭＳ ゴシック"/>
        <family val="3"/>
        <charset val="128"/>
      </rPr>
      <t>by</t>
    </r>
    <r>
      <rPr>
        <sz val="10"/>
        <color theme="1"/>
        <rFont val="ＭＳ ゴシック"/>
        <family val="3"/>
        <charset val="128"/>
      </rPr>
      <t xml:space="preserve"> ID</t>
    </r>
    <phoneticPr fontId="1"/>
  </si>
  <si>
    <t>or YOTEI is null</t>
    <phoneticPr fontId="1"/>
  </si>
  <si>
    <t>S20_検索SQL</t>
    <phoneticPr fontId="1"/>
  </si>
  <si>
    <t>完全一致(必須項目)</t>
    <rPh sb="0" eb="2">
      <t>カンゼン</t>
    </rPh>
    <rPh sb="2" eb="4">
      <t>イッチ</t>
    </rPh>
    <rPh sb="5" eb="9">
      <t>ヒッスコウモク</t>
    </rPh>
    <phoneticPr fontId="1"/>
  </si>
  <si>
    <t>年月*</t>
    <rPh sb="0" eb="2">
      <t>ネンゲツ</t>
    </rPh>
    <phoneticPr fontId="1"/>
  </si>
  <si>
    <t>Code1*</t>
    <phoneticPr fontId="1"/>
  </si>
  <si>
    <t>Code2*</t>
    <phoneticPr fontId="1"/>
  </si>
  <si>
    <t>NULL 行,</t>
    <rPh sb="5" eb="6">
      <t>ギョウ</t>
    </rPh>
    <phoneticPr fontId="1"/>
  </si>
  <si>
    <t>行</t>
    <phoneticPr fontId="1"/>
  </si>
  <si>
    <t>行</t>
  </si>
  <si>
    <t>予定月</t>
    <phoneticPr fontId="1"/>
  </si>
  <si>
    <t>合計</t>
    <rPh sb="0" eb="2">
      <t>ゴウケイ</t>
    </rPh>
    <phoneticPr fontId="1"/>
  </si>
  <si>
    <t>26A</t>
  </si>
  <si>
    <t>26A</t>
    <phoneticPr fontId="1"/>
  </si>
  <si>
    <t>80000300</t>
  </si>
  <si>
    <t>80000300</t>
    <phoneticPr fontId="1"/>
  </si>
  <si>
    <t>AAA</t>
  </si>
  <si>
    <t>2023/04</t>
  </si>
  <si>
    <t>A13</t>
  </si>
  <si>
    <t>A14</t>
  </si>
  <si>
    <t>A15</t>
  </si>
  <si>
    <t>A16</t>
  </si>
  <si>
    <t>A17</t>
  </si>
  <si>
    <t>A82</t>
  </si>
  <si>
    <t>BBB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</si>
  <si>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</si>
  <si>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</si>
  <si>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</si>
  <si>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</si>
  <si>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</si>
  <si>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</si>
  <si>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</si>
  <si>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</si>
  <si>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</si>
  <si>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</si>
  <si>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</si>
  <si>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</si>
  <si>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</si>
  <si>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</si>
  <si>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</si>
  <si>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</si>
  <si>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</si>
  <si>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</si>
  <si>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</si>
  <si>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</si>
  <si>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</si>
  <si>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</si>
  <si>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</si>
  <si>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</si>
  <si>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</si>
  <si>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</si>
  <si>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</si>
  <si>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</si>
  <si>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</si>
  <si>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</si>
  <si>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</si>
  <si>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</si>
  <si>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</si>
  <si>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</si>
  <si>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</si>
  <si>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</si>
  <si>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</si>
  <si>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</si>
  <si>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</si>
  <si>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CCC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</si>
  <si>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</si>
  <si>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</si>
  <si>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</si>
  <si>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</si>
  <si>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</si>
  <si>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</si>
  <si>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</si>
  <si>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</si>
  <si>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</si>
  <si>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</si>
  <si>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</si>
  <si>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</si>
  <si>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</si>
  <si>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</si>
  <si>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</si>
  <si>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</si>
  <si>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</si>
  <si>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</si>
  <si>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</si>
  <si>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</si>
  <si>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</si>
  <si>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</si>
  <si>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</si>
  <si>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</si>
  <si>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</si>
  <si>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</si>
  <si>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</si>
  <si>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</si>
  <si>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</si>
  <si>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</si>
  <si>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</si>
  <si>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</si>
  <si>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</si>
  <si>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</si>
  <si>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</si>
  <si>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</si>
  <si>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</si>
  <si>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</si>
  <si>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</si>
  <si>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</si>
  <si>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</si>
  <si>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</si>
  <si>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</si>
  <si>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</si>
  <si>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</si>
  <si>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</si>
  <si>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</si>
  <si>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</si>
  <si>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</si>
  <si>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</si>
  <si>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</si>
  <si>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</si>
  <si>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</si>
  <si>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</si>
  <si>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</si>
  <si>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</si>
  <si>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</si>
  <si>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</si>
  <si>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</si>
  <si>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</si>
  <si>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</si>
  <si>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</si>
  <si>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</si>
  <si>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</si>
  <si>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</si>
  <si>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</si>
  <si>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</si>
  <si>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</si>
  <si>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</si>
  <si>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</si>
  <si>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</si>
  <si>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</si>
  <si>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</si>
  <si>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</si>
  <si>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</si>
  <si>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</si>
  <si>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</si>
  <si>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</si>
  <si>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</si>
  <si>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</si>
  <si>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</si>
  <si>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</si>
  <si>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</si>
  <si>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</si>
  <si>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</si>
  <si>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</si>
  <si>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</si>
  <si>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</si>
  <si>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</si>
  <si>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</si>
  <si>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</si>
  <si>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</si>
  <si>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</si>
  <si>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</si>
  <si>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</si>
  <si>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</si>
  <si>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</si>
  <si>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</si>
  <si>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</si>
  <si>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</si>
  <si>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</si>
  <si>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</si>
  <si>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</si>
  <si>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</si>
  <si>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</si>
  <si>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</si>
  <si>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</si>
  <si>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</si>
  <si>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</si>
  <si>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</si>
  <si>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</si>
  <si>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</si>
  <si>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</si>
  <si>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</si>
  <si>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</si>
  <si>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</si>
  <si>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</si>
  <si>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</si>
  <si>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</si>
  <si>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</si>
  <si>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</si>
  <si>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</si>
  <si>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</si>
  <si>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A3</t>
  </si>
  <si>
    <t>A1</t>
  </si>
  <si>
    <t>A2</t>
  </si>
  <si>
    <t>A4</t>
  </si>
  <si>
    <t>A5</t>
  </si>
  <si>
    <t>A6</t>
  </si>
  <si>
    <t>A7</t>
  </si>
  <si>
    <t>A8</t>
  </si>
  <si>
    <t>数量</t>
  </si>
  <si>
    <t>2023/04</t>
    <phoneticPr fontId="1"/>
  </si>
  <si>
    <t>数量</t>
    <phoneticPr fontId="1"/>
  </si>
  <si>
    <r>
      <t>TORIHIKISAKI 購入先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  <phoneticPr fontId="1"/>
  </si>
  <si>
    <t xml:space="preserve">TANKA 単価, </t>
    <rPh sb="6" eb="8">
      <t>タンカ</t>
    </rPh>
    <phoneticPr fontId="1"/>
  </si>
  <si>
    <r>
      <t>from</t>
    </r>
    <r>
      <rPr>
        <sz val="10"/>
        <color theme="1"/>
        <rFont val="ＭＳ ゴシック"/>
        <family val="3"/>
        <charset val="128"/>
      </rPr>
      <t xml:space="preserve"> CHUMON_MEISAI </t>
    </r>
    <phoneticPr fontId="1"/>
  </si>
  <si>
    <t xml:space="preserve">SURYO 数量, </t>
    <rPh sb="6" eb="8">
      <t>スウリョウ</t>
    </rPh>
    <phoneticPr fontId="1"/>
  </si>
  <si>
    <r>
      <t>CREATE</t>
    </r>
    <r>
      <rPr>
        <sz val="10"/>
        <color theme="1"/>
        <rFont val="ＭＳ ゴシック"/>
        <family val="3"/>
        <charset val="128"/>
      </rPr>
      <t xml:space="preserve"> </t>
    </r>
    <r>
      <rPr>
        <sz val="10"/>
        <color rgb="FF0080FF"/>
        <rFont val="ＭＳ ゴシック"/>
        <family val="3"/>
        <charset val="128"/>
      </rPr>
      <t>SEQUENCE</t>
    </r>
    <r>
      <rPr>
        <sz val="10"/>
        <color theme="1"/>
        <rFont val="ＭＳ ゴシック"/>
        <family val="3"/>
        <charset val="128"/>
      </rPr>
      <t xml:space="preserve">  "SCSALES"</t>
    </r>
    <r>
      <rPr>
        <sz val="10"/>
        <color rgb="FF808080"/>
        <rFont val="ＭＳ ゴシック"/>
        <family val="3"/>
        <charset val="128"/>
      </rPr>
      <t>.</t>
    </r>
    <r>
      <rPr>
        <sz val="10"/>
        <color theme="1"/>
        <rFont val="ＭＳ ゴシック"/>
        <family val="3"/>
        <charset val="128"/>
      </rPr>
      <t xml:space="preserve">"SEQ_CHUMON_MEISAI"  MINVALUE </t>
    </r>
    <r>
      <rPr>
        <sz val="10"/>
        <color rgb="FFFF2800"/>
        <rFont val="ＭＳ ゴシック"/>
        <family val="3"/>
        <charset val="128"/>
      </rPr>
      <t>1</t>
    </r>
    <r>
      <rPr>
        <sz val="10"/>
        <color theme="1"/>
        <rFont val="ＭＳ ゴシック"/>
        <family val="3"/>
        <charset val="128"/>
      </rPr>
      <t xml:space="preserve"> MAXVALUE </t>
    </r>
    <r>
      <rPr>
        <sz val="10"/>
        <color rgb="FFFF2800"/>
        <rFont val="ＭＳ ゴシック"/>
        <family val="3"/>
        <charset val="128"/>
      </rPr>
      <t>999999</t>
    </r>
    <r>
      <rPr>
        <sz val="10"/>
        <color theme="1"/>
        <rFont val="ＭＳ ゴシック"/>
        <family val="3"/>
        <charset val="128"/>
      </rPr>
      <t xml:space="preserve"> INCREMENT </t>
    </r>
    <r>
      <rPr>
        <sz val="10"/>
        <color rgb="FF0080FF"/>
        <rFont val="ＭＳ ゴシック"/>
        <family val="3"/>
        <charset val="128"/>
      </rPr>
      <t>BY</t>
    </r>
    <r>
      <rPr>
        <sz val="10"/>
        <color theme="1"/>
        <rFont val="ＭＳ ゴシック"/>
        <family val="3"/>
        <charset val="128"/>
      </rPr>
      <t xml:space="preserve"> </t>
    </r>
    <r>
      <rPr>
        <sz val="10"/>
        <color rgb="FFFF2800"/>
        <rFont val="ＭＳ ゴシック"/>
        <family val="3"/>
        <charset val="128"/>
      </rPr>
      <t>1</t>
    </r>
    <r>
      <rPr>
        <sz val="10"/>
        <color theme="1"/>
        <rFont val="ＭＳ ゴシック"/>
        <family val="3"/>
        <charset val="128"/>
      </rPr>
      <t xml:space="preserve"> </t>
    </r>
    <r>
      <rPr>
        <sz val="10"/>
        <color rgb="FF0080FF"/>
        <rFont val="ＭＳ ゴシック"/>
        <family val="3"/>
        <charset val="128"/>
      </rPr>
      <t>START</t>
    </r>
    <r>
      <rPr>
        <sz val="10"/>
        <color theme="1"/>
        <rFont val="ＭＳ ゴシック"/>
        <family val="3"/>
        <charset val="128"/>
      </rPr>
      <t xml:space="preserve"> </t>
    </r>
    <r>
      <rPr>
        <sz val="10"/>
        <color rgb="FF0080FF"/>
        <rFont val="ＭＳ ゴシック"/>
        <family val="3"/>
        <charset val="128"/>
      </rPr>
      <t>WITH</t>
    </r>
    <r>
      <rPr>
        <sz val="10"/>
        <color theme="1"/>
        <rFont val="ＭＳ ゴシック"/>
        <family val="3"/>
        <charset val="128"/>
      </rPr>
      <t xml:space="preserve"> </t>
    </r>
    <r>
      <rPr>
        <sz val="10"/>
        <color rgb="FFFF2800"/>
        <rFont val="ＭＳ ゴシック"/>
        <family val="3"/>
        <charset val="128"/>
      </rPr>
      <t>1</t>
    </r>
    <r>
      <rPr>
        <sz val="10"/>
        <color theme="1"/>
        <rFont val="ＭＳ ゴシック"/>
        <family val="3"/>
        <charset val="128"/>
      </rPr>
      <t xml:space="preserve"> CACHE </t>
    </r>
    <r>
      <rPr>
        <sz val="10"/>
        <color rgb="FFFF2800"/>
        <rFont val="ＭＳ ゴシック"/>
        <family val="3"/>
        <charset val="128"/>
      </rPr>
      <t>20</t>
    </r>
    <r>
      <rPr>
        <sz val="10"/>
        <color theme="1"/>
        <rFont val="ＭＳ ゴシック"/>
        <family val="3"/>
        <charset val="128"/>
      </rPr>
      <t xml:space="preserve"> NOORDER  </t>
    </r>
    <r>
      <rPr>
        <sz val="10"/>
        <color rgb="FF0080FF"/>
        <rFont val="ＭＳ ゴシック"/>
        <family val="3"/>
        <charset val="128"/>
      </rPr>
      <t>CYCLE</t>
    </r>
    <r>
      <rPr>
        <sz val="10"/>
        <color theme="1"/>
        <rFont val="ＭＳ ゴシック"/>
        <family val="3"/>
        <charset val="128"/>
      </rPr>
      <t xml:space="preserve">  NOKEEP  NOSCALE  </t>
    </r>
    <r>
      <rPr>
        <sz val="10"/>
        <color rgb="FF0080FF"/>
        <rFont val="ＭＳ ゴシック"/>
        <family val="3"/>
        <charset val="128"/>
      </rPr>
      <t>GLOBAL</t>
    </r>
  </si>
  <si>
    <t>単価</t>
  </si>
  <si>
    <t>単価</t>
    <phoneticPr fontId="1"/>
  </si>
  <si>
    <t>分類</t>
  </si>
  <si>
    <t xml:space="preserve">BUNRUI 分類, </t>
    <rPh sb="7" eb="9">
      <t>ブンルイ</t>
    </rPh>
    <phoneticPr fontId="1"/>
  </si>
  <si>
    <t>分類</t>
    <phoneticPr fontId="1"/>
  </si>
  <si>
    <t>金額</t>
    <rPh sb="0" eb="2">
      <t>キンガク</t>
    </rPh>
    <phoneticPr fontId="1"/>
  </si>
  <si>
    <t xml:space="preserve">NULL FLG </t>
    <phoneticPr fontId="1"/>
  </si>
  <si>
    <t xml:space="preserve">ID ID, </t>
    <phoneticPr fontId="1"/>
  </si>
  <si>
    <t>ID</t>
    <phoneticPr fontId="1"/>
  </si>
  <si>
    <t xml:space="preserve">declare </t>
  </si>
  <si>
    <t xml:space="preserve">begin </t>
  </si>
  <si>
    <t>コード３</t>
    <phoneticPr fontId="1"/>
  </si>
  <si>
    <t>*Debug用</t>
    <rPh sb="6" eb="7">
      <t>ヨウ</t>
    </rPh>
    <phoneticPr fontId="1"/>
  </si>
  <si>
    <t>前方一致(必須項目)</t>
    <rPh sb="0" eb="4">
      <t>ゼンポウイッチ</t>
    </rPh>
    <phoneticPr fontId="1"/>
  </si>
  <si>
    <t xml:space="preserve">TRUNC(SURYO*TANKA) as KINGAKU, </t>
    <phoneticPr fontId="1"/>
  </si>
  <si>
    <t xml:space="preserve"> 金額</t>
  </si>
  <si>
    <t xml:space="preserve">SUBSTR(YOTEI,1,4)||'/'||SUBSTR(YOTEI,5,2) as YOTEI, </t>
    <phoneticPr fontId="1"/>
  </si>
  <si>
    <t xml:space="preserve"> 予定月</t>
  </si>
  <si>
    <t>YOTEI</t>
    <phoneticPr fontId="1"/>
  </si>
  <si>
    <t>KINGAKU</t>
    <phoneticPr fontId="1"/>
  </si>
  <si>
    <t>2023/06</t>
  </si>
  <si>
    <t>commit;</t>
  </si>
  <si>
    <t>end;</t>
  </si>
  <si>
    <t>2023/05</t>
    <phoneticPr fontId="1"/>
  </si>
  <si>
    <t>2023/07</t>
  </si>
  <si>
    <t>2023/08</t>
  </si>
  <si>
    <t>2023/09</t>
  </si>
  <si>
    <t>2023/10</t>
  </si>
  <si>
    <t>2023/11</t>
  </si>
  <si>
    <t>2023/12</t>
  </si>
  <si>
    <t>2024/01</t>
    <phoneticPr fontId="1"/>
  </si>
  <si>
    <t>2024/02</t>
    <phoneticPr fontId="1"/>
  </si>
  <si>
    <t>2024/03</t>
    <phoneticPr fontId="1"/>
  </si>
  <si>
    <t>A9</t>
  </si>
  <si>
    <t>A10</t>
  </si>
  <si>
    <t>A11</t>
  </si>
  <si>
    <t>A12</t>
  </si>
  <si>
    <t>繰越</t>
  </si>
  <si>
    <t>update CHUMON_MEISAI set UPDATED_DATE=TO_DATE(SYSDATE, 'YYYY/MM/DD HH24:MI:SS'), BUNRUI='繰越', YOTEI='202304' where ID='5440';</t>
  </si>
  <si>
    <t>update CHUMON_MEISAI set UPDATED_DATE=TO_DATE(SYSDATE, 'YYYY/MM/DD HH24:MI:SS'), BUNRUI='繰越', YOTEI='202304' where ID='5441';</t>
  </si>
  <si>
    <t>update CHUMON_MEISAI set UPDATED_DATE=TO_DATE(SYSDATE, 'YYYY/MM/DD HH24:MI:SS'), BUNRUI='繰越', YOTEI='202304' where ID='5442';</t>
  </si>
  <si>
    <t>update CHUMON_MEISAI set UPDATED_DATE=TO_DATE(SYSDATE, 'YYYY/MM/DD HH24:MI:SS'), BUNRUI='繰越', YOTEI='202304' where ID='5443';</t>
  </si>
  <si>
    <t>update CHUMON_MEISAI set UPDATED_DATE=TO_DATE(SYSDATE, 'YYYY/MM/DD HH24:MI:SS'), BUNRUI='繰越', YOTEI='202304' where ID='5444';</t>
  </si>
  <si>
    <t>update CHUMON_MEISAI set UPDATED_DATE=TO_DATE(SYSDATE, 'YYYY/MM/DD HH24:MI:SS'), BUNRUI='繰越', YOTEI='202304' where ID='5445';</t>
  </si>
  <si>
    <t>update CHUMON_MEISAI set UPDATED_DATE=TO_DATE(SYSDATE, 'YYYY/MM/DD HH24:MI:SS'), BUNRUI='繰越', YOTEI='202304' where ID='5446';</t>
  </si>
  <si>
    <t>update CHUMON_MEISAI set UPDATED_DATE=TO_DATE(SYSDATE, 'YYYY/MM/DD HH24:MI:SS'), BUNRUI='繰越', YOTEI='202304' where ID='5447';</t>
  </si>
  <si>
    <t>update CHUMON_MEISAI set UPDATED_DATE=TO_DATE(SYSDATE, 'YYYY/MM/DD HH24:MI:SS'), BUNRUI='繰越', YOTEI='202304' where ID='5448';</t>
  </si>
  <si>
    <t>update CHUMON_MEISAI set UPDATED_DATE=TO_DATE(SYSDATE, 'YYYY/MM/DD HH24:MI:SS'), BUNRUI='繰越', YOTEI='202304' where ID='5449';</t>
  </si>
  <si>
    <t>update CHUMON_MEISAI set UPDATED_DATE=TO_DATE(SYSDATE, 'YYYY/MM/DD HH24:MI:SS'), BUNRUI='繰越', YOTEI='202304' where ID='5450';</t>
  </si>
  <si>
    <t>update CHUMON_MEISAI set UPDATED_DATE=TO_DATE(SYSDATE, 'YYYY/MM/DD HH24:MI:SS'), BUNRUI='繰越', YOTEI='202304' where ID='5451';</t>
  </si>
  <si>
    <t>update CHUMON_MEISAI set UPDATED_DATE=TO_DATE(SYSDATE, 'YYYY/MM/DD HH24:MI:SS'), BUNRUI='繰越', YOTEI='202304' where ID='5452';</t>
  </si>
  <si>
    <t>update CHUMON_MEISAI set UPDATED_DATE=TO_DATE(SYSDATE, 'YYYY/MM/DD HH24:MI:SS'), BUNRUI='繰越', YOTEI='202304' where ID='5453';</t>
  </si>
  <si>
    <t>update CHUMON_MEISAI set UPDATED_DATE=TO_DATE(SYSDATE, 'YYYY/MM/DD HH24:MI:SS'), BUNRUI='繰越', YOTEI='202304' where ID='5454';</t>
  </si>
  <si>
    <t>update CHUMON_MEISAI set UPDATED_DATE=TO_DATE(SYSDATE, 'YYYY/MM/DD HH24:MI:SS'), BUNRUI='繰越', YOTEI='202304' where ID='5455';</t>
  </si>
  <si>
    <t>update CHUMON_MEISAI set UPDATED_DATE=TO_DATE(SYSDATE, 'YYYY/MM/DD HH24:MI:SS'), BUNRUI='繰越', YOTEI='202304' where ID='5456';</t>
  </si>
  <si>
    <t>update CHUMON_MEISAI set UPDATED_DATE=TO_DATE(SYSDATE, 'YYYY/MM/DD HH24:MI:SS'), BUNRUI='繰越', YOTEI='202304' where ID='5457';</t>
  </si>
  <si>
    <t>update CHUMON_MEISAI set UPDATED_DATE=TO_DATE(SYSDATE, 'YYYY/MM/DD HH24:MI:SS'), BUNRUI='繰越', YOTEI='202304' where ID='5458';</t>
  </si>
  <si>
    <t>update CHUMON_MEISAI set UPDATED_DATE=TO_DATE(SYSDATE, 'YYYY/MM/DD HH24:MI:SS'), BUNRUI='繰越', YOTEI='202304' where ID='5459';</t>
  </si>
  <si>
    <t>update CHUMON_MEISAI set UPDATED_DATE=TO_DATE(SYSDATE, 'YYYY/MM/DD HH24:MI:SS'), BUNRUI='繰越', YOTEI='202304' where ID='5460';</t>
  </si>
  <si>
    <t>update CHUMON_MEISAI set UPDATED_DATE=TO_DATE(SYSDATE, 'YYYY/MM/DD HH24:MI:SS'), BUNRUI='繰越', YOTEI='202304' where ID='5461';</t>
  </si>
  <si>
    <t>update CHUMON_MEISAI set UPDATED_DATE=TO_DATE(SYSDATE, 'YYYY/MM/DD HH24:MI:SS'), BUNRUI='繰越', YOTEI='202304' where ID='5462';</t>
  </si>
  <si>
    <t>update CHUMON_MEISAI set UPDATED_DATE=TO_DATE(SYSDATE, 'YYYY/MM/DD HH24:MI:SS'), BUNRUI='繰越', YOTEI='202304' where ID='5463';</t>
  </si>
  <si>
    <t>update CHUMON_MEISAI set UPDATED_DATE=TO_DATE(SYSDATE, 'YYYY/MM/DD HH24:MI:SS'), BUNRUI='繰越', YOTEI='202304' where ID='5464';</t>
  </si>
  <si>
    <t>update CHUMON_MEISAI set UPDATED_DATE=TO_DATE(SYSDATE, 'YYYY/MM/DD HH24:MI:SS'), BUNRUI='繰越', YOTEI='202304' where ID='5465';</t>
  </si>
  <si>
    <t>update CHUMON_MEISAI set UPDATED_DATE=TO_DATE(SYSDATE, 'YYYY/MM/DD HH24:MI:SS'), BUNRUI='繰越', YOTEI='202304' where ID='5466';</t>
  </si>
  <si>
    <t>update CHUMON_MEISAI set UPDATED_DATE=TO_DATE(SYSDATE, 'YYYY/MM/DD HH24:MI:SS'), BUNRUI='繰越', YOTEI='202304' where ID='5467';</t>
  </si>
  <si>
    <t>update CHUMON_MEISAI set UPDATED_DATE=TO_DATE(SYSDATE, 'YYYY/MM/DD HH24:MI:SS'), BUNRUI='繰越', YOTEI='202304' where ID='5468';</t>
  </si>
  <si>
    <t>update CHUMON_MEISAI set UPDATED_DATE=TO_DATE(SYSDATE, 'YYYY/MM/DD HH24:MI:SS'), BUNRUI='繰越', YOTEI='202304' where ID='5469';</t>
  </si>
  <si>
    <t>update CHUMON_MEISAI set UPDATED_DATE=TO_DATE(SYSDATE, 'YYYY/MM/DD HH24:MI:SS'), BUNRUI='繰越', YOTEI='202304' where ID='5470';</t>
  </si>
  <si>
    <t>update CHUMON_MEISAI set UPDATED_DATE=TO_DATE(SYSDATE, 'YYYY/MM/DD HH24:MI:SS'), BUNRUI='繰越', YOTEI='202304' where ID='5471';</t>
  </si>
  <si>
    <t>update CHUMON_MEISAI set UPDATED_DATE=TO_DATE(SYSDATE, 'YYYY/MM/DD HH24:MI:SS'), BUNRUI='繰越', YOTEI='202304' where ID='5472';</t>
  </si>
  <si>
    <t>update CHUMON_MEISAI set UPDATED_DATE=TO_DATE(SYSDATE, 'YYYY/MM/DD HH24:MI:SS'), BUNRUI='繰越', YOTEI='202304' where ID='5473';</t>
  </si>
  <si>
    <t>update CHUMON_MEISAI set UPDATED_DATE=TO_DATE(SYSDATE, 'YYYY/MM/DD HH24:MI:SS'), BUNRUI='繰越', YOTEI='202304' where ID='5474';</t>
  </si>
  <si>
    <t>update CHUMON_MEISAI set UPDATED_DATE=TO_DATE(SYSDATE, 'YYYY/MM/DD HH24:MI:SS'), BUNRUI='繰越', YOTEI='202304' where ID='5475';</t>
  </si>
  <si>
    <t>update CHUMON_MEISAI set UPDATED_DATE=TO_DATE(SYSDATE, 'YYYY/MM/DD HH24:MI:SS'), BUNRUI='繰越', YOTEI='202304' where ID='5476';</t>
  </si>
  <si>
    <t>update CHUMON_MEISAI set UPDATED_DATE=TO_DATE(SYSDATE, 'YYYY/MM/DD HH24:MI:SS'), BUNRUI='繰越', YOTEI='202304' where ID='5477';</t>
  </si>
  <si>
    <t>update CHUMON_MEISAI set UPDATED_DATE=TO_DATE(SYSDATE, 'YYYY/MM/DD HH24:MI:SS'), BUNRUI='繰越', YOTEI='202304' where ID='5478';</t>
  </si>
  <si>
    <t>update CHUMON_MEISAI set UPDATED_DATE=TO_DATE(SYSDATE, 'YYYY/MM/DD HH24:MI:SS'), BUNRUI='繰越', YOTEI='202304' where ID='5479';</t>
  </si>
  <si>
    <t>update CHUMON_MEISAI set UPDATED_DATE=TO_DATE(SYSDATE, 'YYYY/MM/DD HH24:MI:SS'), BUNRUI='繰越', YOTEI='202304' where ID='5480';</t>
  </si>
  <si>
    <t>update CHUMON_MEISAI set UPDATED_DATE=TO_DATE(SYSDATE, 'YYYY/MM/DD HH24:MI:SS'), BUNRUI='繰越', YOTEI='202304' where ID='5481';</t>
  </si>
  <si>
    <t>update CHUMON_MEISAI set UPDATED_DATE=TO_DATE(SYSDATE, 'YYYY/MM/DD HH24:MI:SS'), BUNRUI='繰越', YOTEI='202304' where ID='5482';</t>
  </si>
  <si>
    <t>update CHUMON_MEISAI set UPDATED_DATE=TO_DATE(SYSDATE, 'YYYY/MM/DD HH24:MI:SS'), BUNRUI='繰越', YOTEI='202304' where ID='5483';</t>
  </si>
  <si>
    <t>update CHUMON_MEISAI set UPDATED_DATE=TO_DATE(SYSDATE, 'YYYY/MM/DD HH24:MI:SS'), BUNRUI='繰越', YOTEI='202304' where ID='5484';</t>
  </si>
  <si>
    <t>update CHUMON_MEISAI set UPDATED_DATE=TO_DATE(SYSDATE, 'YYYY/MM/DD HH24:MI:SS'), BUNRUI='繰越', YOTEI='202304' where ID='5485';</t>
  </si>
  <si>
    <t>update CHUMON_MEISAI set UPDATED_DATE=TO_DATE(SYSDATE, 'YYYY/MM/DD HH24:MI:SS'), BUNRUI='繰越', YOTEI='202304' where ID='5486';</t>
  </si>
  <si>
    <t>update CHUMON_MEISAI set UPDATED_DATE=TO_DATE(SYSDATE, 'YYYY/MM/DD HH24:MI:SS'), BUNRUI='繰越', YOTEI='202304' where ID='5487';</t>
  </si>
  <si>
    <t>update CHUMON_MEISAI set UPDATED_DATE=TO_DATE(SYSDATE, 'YYYY/MM/DD HH24:MI:SS'), BUNRUI='繰越', YOTEI='202304' where ID='5488';</t>
  </si>
  <si>
    <t>update CHUMON_MEISAI set UPDATED_DATE=TO_DATE(SYSDATE, 'YYYY/MM/DD HH24:MI:SS'), BUNRUI='繰越', YOTEI='202304' where ID='5489';</t>
  </si>
  <si>
    <t>update CHUMON_MEISAI set UPDATED_DATE=TO_DATE(SYSDATE, 'YYYY/MM/DD HH24:MI:SS'), BUNRUI='繰越', YOTEI='202304' where ID='5490';</t>
  </si>
  <si>
    <t>update CHUMON_MEISAI set UPDATED_DATE=TO_DATE(SYSDATE, 'YYYY/MM/DD HH24:MI:SS'), BUNRUI='繰越', YOTEI='202304' where ID='5491';</t>
  </si>
  <si>
    <t>update CHUMON_MEISAI set UPDATED_DATE=TO_DATE(SYSDATE, 'YYYY/MM/DD HH24:MI:SS'), BUNRUI='繰越', YOTEI='202304' where ID='5492';</t>
  </si>
  <si>
    <t>update CHUMON_MEISAI set UPDATED_DATE=TO_DATE(SYSDATE, 'YYYY/MM/DD HH24:MI:SS'), BUNRUI='繰越', YOTEI='202304' where ID='5493';</t>
  </si>
  <si>
    <t>update CHUMON_MEISAI set UPDATED_DATE=TO_DATE(SYSDATE, 'YYYY/MM/DD HH24:MI:SS'), BUNRUI='繰越', YOTEI='202304' where ID='5494';</t>
  </si>
  <si>
    <t>update CHUMON_MEISAI set UPDATED_DATE=TO_DATE(SYSDATE, 'YYYY/MM/DD HH24:MI:SS'), BUNRUI='繰越', YOTEI='202304' where ID='5495';</t>
  </si>
  <si>
    <t>update CHUMON_MEISAI set UPDATED_DATE=TO_DATE(SYSDATE, 'YYYY/MM/DD HH24:MI:SS'), BUNRUI='繰越', YOTEI='202304' where ID='5496';</t>
  </si>
  <si>
    <t>update CHUMON_MEISAI set UPDATED_DATE=TO_DATE(SYSDATE, 'YYYY/MM/DD HH24:MI:SS'), BUNRUI='繰越', YOTEI='202304' where ID='5497';</t>
  </si>
  <si>
    <t>update CHUMON_MEISAI set UPDATED_DATE=TO_DATE(SYSDATE, 'YYYY/MM/DD HH24:MI:SS'), BUNRUI='繰越', YOTEI='202304' where ID='5498';</t>
  </si>
  <si>
    <t>update CHUMON_MEISAI set UPDATED_DATE=TO_DATE(SYSDATE, 'YYYY/MM/DD HH24:MI:SS'), BUNRUI='繰越', YOTEI='202304' where ID='5499';</t>
  </si>
  <si>
    <t>update CHUMON_MEISAI set UPDATED_DATE=TO_DATE(SYSDATE, 'YYYY/MM/DD HH24:MI:SS'), BUNRUI='繰越', YOTEI='202304' where ID='5500';</t>
  </si>
  <si>
    <t>update CHUMON_MEISAI set UPDATED_DATE=TO_DATE(SYSDATE, 'YYYY/MM/DD HH24:MI:SS'), BUNRUI='繰越', YOTEI='202304' where ID='5501';</t>
  </si>
  <si>
    <t>update CHUMON_MEISAI set UPDATED_DATE=TO_DATE(SYSDATE, 'YYYY/MM/DD HH24:MI:SS'), BUNRUI='繰越', YOTEI='202304' where ID='5502';</t>
  </si>
  <si>
    <t>update CHUMON_MEISAI set UPDATED_DATE=TO_DATE(SYSDATE, 'YYYY/MM/DD HH24:MI:SS'), BUNRUI='繰越', YOTEI='202304' where ID='5503';</t>
  </si>
  <si>
    <t>update CHUMON_MEISAI set UPDATED_DATE=TO_DATE(SYSDATE, 'YYYY/MM/DD HH24:MI:SS'), BUNRUI='繰越', YOTEI='202304' where ID='5504';</t>
  </si>
  <si>
    <t>update CHUMON_MEISAI set UPDATED_DATE=TO_DATE(SYSDATE, 'YYYY/MM/DD HH24:MI:SS'), BUNRUI='繰越', YOTEI='202304' where ID='5505';</t>
  </si>
  <si>
    <t>update CHUMON_MEISAI set UPDATED_DATE=TO_DATE(SYSDATE, 'YYYY/MM/DD HH24:MI:SS'), BUNRUI='繰越', YOTEI='202304' where ID='5506';</t>
  </si>
  <si>
    <t>update CHUMON_MEISAI set UPDATED_DATE=TO_DATE(SYSDATE, 'YYYY/MM/DD HH24:MI:SS'), BUNRUI='繰越', YOTEI='202304' where ID='5507';</t>
  </si>
  <si>
    <t>update CHUMON_MEISAI set UPDATED_DATE=TO_DATE(SYSDATE, 'YYYY/MM/DD HH24:MI:SS'), BUNRUI='繰越', YOTEI='202304' where ID='5508';</t>
  </si>
  <si>
    <t>update CHUMON_MEISAI set UPDATED_DATE=TO_DATE(SYSDATE, 'YYYY/MM/DD HH24:MI:SS'), BUNRUI='繰越', YOTEI='202304' where ID='5509';</t>
  </si>
  <si>
    <t>update CHUMON_MEISAI set UPDATED_DATE=TO_DATE(SYSDATE, 'YYYY/MM/DD HH24:MI:SS'), BUNRUI='繰越', YOTEI='202304' where ID='5510';</t>
  </si>
  <si>
    <t>update CHUMON_MEISAI set UPDATED_DATE=TO_DATE(SYSDATE, 'YYYY/MM/DD HH24:MI:SS'), BUNRUI='繰越', YOTEI='202304' where ID='5511';</t>
  </si>
  <si>
    <t>update CHUMON_MEISAI set UPDATED_DATE=TO_DATE(SYSDATE, 'YYYY/MM/DD HH24:MI:SS'), BUNRUI='繰越', YOTEI='202304' where ID='5512';</t>
  </si>
  <si>
    <t>update CHUMON_MEISAI set UPDATED_DATE=TO_DATE(SYSDATE, 'YYYY/MM/DD HH24:MI:SS'), BUNRUI='繰越', YOTEI='202304' where ID='5513';</t>
  </si>
  <si>
    <t>update CHUMON_MEISAI set UPDATED_DATE=TO_DATE(SYSDATE, 'YYYY/MM/DD HH24:MI:SS'), BUNRUI='繰越', YOTEI='202304' where ID='5514';</t>
  </si>
  <si>
    <t>update CHUMON_MEISAI set UPDATED_DATE=TO_DATE(SYSDATE, 'YYYY/MM/DD HH24:MI:SS'), BUNRUI='繰越', YOTEI='202304' where ID='5515';</t>
  </si>
  <si>
    <t>update CHUMON_MEISAI set UPDATED_DATE=TO_DATE(SYSDATE, 'YYYY/MM/DD HH24:MI:SS'), BUNRUI='繰越', YOTEI='202304' where ID='5516';</t>
  </si>
  <si>
    <t>update CHUMON_MEISAI set UPDATED_DATE=TO_DATE(SYSDATE, 'YYYY/MM/DD HH24:MI:SS'), BUNRUI='繰越', YOTEI='202304' where ID='5517';</t>
  </si>
  <si>
    <t>update CHUMON_MEISAI set UPDATED_DATE=TO_DATE(SYSDATE, 'YYYY/MM/DD HH24:MI:SS'), BUNRUI='繰越', YOTEI='202304' where ID='5518';</t>
  </si>
  <si>
    <t>update CHUMON_MEISAI set UPDATED_DATE=TO_DATE(SYSDATE, 'YYYY/MM/DD HH24:MI:SS'), BUNRUI='繰越', YOTEI='202304' where ID='5519';</t>
  </si>
  <si>
    <t>update CHUMON_MEISAI set UPDATED_DATE=TO_DATE(SYSDATE, 'YYYY/MM/DD HH24:MI:SS'), BUNRUI='繰越', YOTEI='202304' where ID='5520';</t>
  </si>
  <si>
    <t>update CHUMON_MEISAI set UPDATED_DATE=TO_DATE(SYSDATE, 'YYYY/MM/DD HH24:MI:SS'), BUNRUI='繰越', YOTEI='202304' where ID='5521';</t>
  </si>
  <si>
    <t>update CHUMON_MEISAI set UPDATED_DATE=TO_DATE(SYSDATE, 'YYYY/MM/DD HH24:MI:SS'), BUNRUI='繰越', YOTEI='202304' where ID='5522';</t>
  </si>
  <si>
    <t>update CHUMON_MEISAI set UPDATED_DATE=TO_DATE(SYSDATE, 'YYYY/MM/DD HH24:MI:SS'), BUNRUI='繰越', YOTEI='202304' where ID='5523';</t>
  </si>
  <si>
    <t>update CHUMON_MEISAI set UPDATED_DATE=TO_DATE(SYSDATE, 'YYYY/MM/DD HH24:MI:SS'), BUNRUI='繰越', YOTEI='202304' where ID='5524';</t>
  </si>
  <si>
    <t>update CHUMON_MEISAI set UPDATED_DATE=TO_DATE(SYSDATE, 'YYYY/MM/DD HH24:MI:SS'), BUNRUI='繰越', YOTEI='202304' where ID='5525';</t>
  </si>
  <si>
    <t>update CHUMON_MEISAI set UPDATED_DATE=TO_DATE(SYSDATE, 'YYYY/MM/DD HH24:MI:SS'), BUNRUI='繰越', YOTEI='202304' where ID='5526';</t>
  </si>
  <si>
    <t>update CHUMON_MEISAI set UPDATED_DATE=TO_DATE(SYSDATE, 'YYYY/MM/DD HH24:MI:SS'), BUNRUI='繰越', YOTEI='202304' where ID='5527';</t>
  </si>
  <si>
    <t>update CHUMON_MEISAI set UPDATED_DATE=TO_DATE(SYSDATE, 'YYYY/MM/DD HH24:MI:SS'), BUNRUI='繰越', YOTEI='202304' where ID='5528';</t>
  </si>
  <si>
    <t>update CHUMON_MEISAI set UPDATED_DATE=TO_DATE(SYSDATE, 'YYYY/MM/DD HH24:MI:SS'), BUNRUI='繰越', YOTEI='202304' where ID='5529';</t>
  </si>
  <si>
    <t>update CHUMON_MEISAI set UPDATED_DATE=TO_DATE(SYSDATE, 'YYYY/MM/DD HH24:MI:SS'), BUNRUI='繰越', YOTEI='202304' where ID='5530';</t>
  </si>
  <si>
    <t>update CHUMON_MEISAI set UPDATED_DATE=TO_DATE(SYSDATE, 'YYYY/MM/DD HH24:MI:SS'), BUNRUI='繰越', YOTEI='202304' where ID='5531';</t>
  </si>
  <si>
    <t>update CHUMON_MEISAI set UPDATED_DATE=TO_DATE(SYSDATE, 'YYYY/MM/DD HH24:MI:SS'), BUNRUI='繰越', YOTEI='202304' where ID='5532';</t>
  </si>
  <si>
    <t>update CHUMON_MEISAI set UPDATED_DATE=TO_DATE(SYSDATE, 'YYYY/MM/DD HH24:MI:SS'), BUNRUI='繰越', YOTEI='202304' where ID='5533';</t>
  </si>
  <si>
    <t>update CHUMON_MEISAI set UPDATED_DATE=TO_DATE(SYSDATE, 'YYYY/MM/DD HH24:MI:SS'), BUNRUI='繰越', YOTEI='202304' where ID='5534';</t>
  </si>
  <si>
    <t>update CHUMON_MEISAI set UPDATED_DATE=TO_DATE(SYSDATE, 'YYYY/MM/DD HH24:MI:SS'), BUNRUI='繰越', YOTEI='202304' where ID='5535';</t>
  </si>
  <si>
    <t>update CHUMON_MEISAI set UPDATED_DATE=TO_DATE(SYSDATE, 'YYYY/MM/DD HH24:MI:SS'), BUNRUI='繰越', YOTEI='202304' where ID='5536';</t>
  </si>
  <si>
    <t>update CHUMON_MEISAI set UPDATED_DATE=TO_DATE(SYSDATE, 'YYYY/MM/DD HH24:MI:SS'), BUNRUI='繰越', YOTEI='202304' where ID='5537';</t>
  </si>
  <si>
    <t>update CHUMON_MEISAI set UPDATED_DATE=TO_DATE(SYSDATE, 'YYYY/MM/DD HH24:MI:SS'), BUNRUI='繰越', YOTEI='202304' where ID='5538';</t>
  </si>
  <si>
    <t>update CHUMON_MEISAI set UPDATED_DATE=TO_DATE(SYSDATE, 'YYYY/MM/DD HH24:MI:SS'), BUNRUI='繰越', YOTEI='202304' where ID='5539';</t>
  </si>
  <si>
    <t>update CHUMON_MEISAI set UPDATED_DATE=TO_DATE(SYSDATE, 'YYYY/MM/DD HH24:MI:SS'), BUNRUI='繰越', YOTEI='202304' where ID='5540';</t>
  </si>
  <si>
    <t>update CHUMON_MEISAI set UPDATED_DATE=TO_DATE(SYSDATE, 'YYYY/MM/DD HH24:MI:SS'), BUNRUI='繰越', YOTEI='202304' where ID='5541';</t>
  </si>
  <si>
    <t>update CHUMON_MEISAI set UPDATED_DATE=TO_DATE(SYSDATE, 'YYYY/MM/DD HH24:MI:SS'), BUNRUI='繰越', YOTEI='202304' where ID='5542';</t>
  </si>
  <si>
    <t>update CHUMON_MEISAI set UPDATED_DATE=TO_DATE(SYSDATE, 'YYYY/MM/DD HH24:MI:SS'), BUNRUI='繰越', YOTEI='202304' where ID='5543';</t>
  </si>
  <si>
    <t>update CHUMON_MEISAI set UPDATED_DATE=TO_DATE(SYSDATE, 'YYYY/MM/DD HH24:MI:SS'), BUNRUI='繰越', YOTEI='202304' where ID='5544';</t>
  </si>
  <si>
    <t>update CHUMON_MEISAI set UPDATED_DATE=TO_DATE(SYSDATE, 'YYYY/MM/DD HH24:MI:SS'), BUNRUI='繰越', YOTEI='202304' where ID='5545';</t>
  </si>
  <si>
    <t>update CHUMON_MEISAI set UPDATED_DATE=TO_DATE(SYSDATE, 'YYYY/MM/DD HH24:MI:SS'), BUNRUI='繰越', YOTEI='202304' where ID='5546';</t>
  </si>
  <si>
    <t>update CHUMON_MEISAI set UPDATED_DATE=TO_DATE(SYSDATE, 'YYYY/MM/DD HH24:MI:SS'), BUNRUI='繰越', YOTEI='202304' where ID='5547';</t>
  </si>
  <si>
    <t>update CHUMON_MEISAI set UPDATED_DATE=TO_DATE(SYSDATE, 'YYYY/MM/DD HH24:MI:SS'), BUNRUI='繰越', YOTEI='202304' where ID='5548';</t>
  </si>
  <si>
    <t>update CHUMON_MEISAI set UPDATED_DATE=TO_DATE(SYSDATE, 'YYYY/MM/DD HH24:MI:SS'), BUNRUI='繰越', YOTEI='202304' where ID='5549';</t>
  </si>
  <si>
    <t>update CHUMON_MEISAI set UPDATED_DATE=TO_DATE(SYSDATE, 'YYYY/MM/DD HH24:MI:SS'), BUNRUI='繰越', YOTEI='202304' where ID='5550';</t>
  </si>
  <si>
    <t>update CHUMON_MEISAI set UPDATED_DATE=TO_DATE(SYSDATE, 'YYYY/MM/DD HH24:MI:SS'), BUNRUI='繰越', YOTEI='202304' where ID='5551';</t>
  </si>
  <si>
    <t>update CHUMON_MEISAI set UPDATED_DATE=TO_DATE(SYSDATE, 'YYYY/MM/DD HH24:MI:SS'), BUNRUI='繰越', YOTEI='202304' where ID='5552';</t>
  </si>
  <si>
    <t>update CHUMON_MEISAI set UPDATED_DATE=TO_DATE(SYSDATE, 'YYYY/MM/DD HH24:MI:SS'), BUNRUI='繰越', YOTEI='202304' where ID='5553';</t>
  </si>
  <si>
    <t>update CHUMON_MEISAI set UPDATED_DATE=TO_DATE(SYSDATE, 'YYYY/MM/DD HH24:MI:SS'), BUNRUI='繰越', YOTEI='202304' where ID='5554';</t>
  </si>
  <si>
    <t>update CHUMON_MEISAI set UPDATED_DATE=TO_DATE(SYSDATE, 'YYYY/MM/DD HH24:MI:SS'), BUNRUI='繰越', YOTEI='202304' where ID='5555';</t>
  </si>
  <si>
    <t>update CHUMON_MEISAI set UPDATED_DATE=TO_DATE(SYSDATE, 'YYYY/MM/DD HH24:MI:SS'), BUNRUI='繰越', YOTEI='202304' where ID='5556';</t>
  </si>
  <si>
    <t>update CHUMON_MEISAI set UPDATED_DATE=TO_DATE(SYSDATE, 'YYYY/MM/DD HH24:MI:SS'), BUNRUI='繰越', YOTEI='202304' where ID='5557';</t>
  </si>
  <si>
    <t>update CHUMON_MEISAI set UPDATED_DATE=TO_DATE(SYSDATE, 'YYYY/MM/DD HH24:MI:SS'), BUNRUI='繰越', YOTEI='202304' where ID='5558';</t>
  </si>
  <si>
    <t>update CHUMON_MEISAI set UPDATED_DATE=TO_DATE(SYSDATE, 'YYYY/MM/DD HH24:MI:SS'), BUNRUI='繰越', YOTEI='202304' where ID='5559';</t>
  </si>
  <si>
    <t>update CHUMON_MEISAI set UPDATED_DATE=TO_DATE(SYSDATE, 'YYYY/MM/DD HH24:MI:SS'), BUNRUI='繰越', YOTEI='202304' where ID='5560';</t>
  </si>
  <si>
    <t>update CHUMON_MEISAI set UPDATED_DATE=TO_DATE(SYSDATE, 'YYYY/MM/DD HH24:MI:SS'), BUNRUI='繰越', YOTEI='202304' where ID='5561';</t>
  </si>
  <si>
    <t>update CHUMON_MEISAI set UPDATED_DATE=TO_DATE(SYSDATE, 'YYYY/MM/DD HH24:MI:SS'), BUNRUI='繰越', YOTEI='202304' where ID='5562';</t>
  </si>
  <si>
    <t>update CHUMON_MEISAI set UPDATED_DATE=TO_DATE(SYSDATE, 'YYYY/MM/DD HH24:MI:SS'), BUNRUI='繰越', YOTEI='202304' where ID='5563';</t>
  </si>
  <si>
    <t>update CHUMON_MEISAI set UPDATED_DATE=TO_DATE(SYSDATE, 'YYYY/MM/DD HH24:MI:SS'), BUNRUI='繰越', YOTEI='202304' where ID='5564';</t>
  </si>
  <si>
    <t>update CHUMON_MEISAI set UPDATED_DATE=TO_DATE(SYSDATE, 'YYYY/MM/DD HH24:MI:SS'), BUNRUI='繰越', YOTEI='202304' where ID='5565';</t>
  </si>
  <si>
    <t>update CHUMON_MEISAI set UPDATED_DATE=TO_DATE(SYSDATE, 'YYYY/MM/DD HH24:MI:SS'), BUNRUI='繰越', YOTEI='202304' where ID='5566';</t>
  </si>
  <si>
    <t>update CHUMON_MEISAI set UPDATED_DATE=TO_DATE(SYSDATE, 'YYYY/MM/DD HH24:MI:SS'), BUNRUI='繰越', YOTEI='202304' where ID='5567';</t>
  </si>
  <si>
    <t>update CHUMON_MEISAI set UPDATED_DATE=TO_DATE(SYSDATE, 'YYYY/MM/DD HH24:MI:SS'), BUNRUI='繰越', YOTEI='202304' where ID='5568';</t>
  </si>
  <si>
    <t>update CHUMON_MEISAI set UPDATED_DATE=TO_DATE(SYSDATE, 'YYYY/MM/DD HH24:MI:SS'), BUNRUI='繰越', YOTEI='202304' where ID='5569';</t>
  </si>
  <si>
    <t>update CHUMON_MEISAI set UPDATED_DATE=TO_DATE(SYSDATE, 'YYYY/MM/DD HH24:MI:SS'), BUNRUI='繰越', YOTEI='202304' where ID='5570';</t>
  </si>
  <si>
    <t>update CHUMON_MEISAI set UPDATED_DATE=TO_DATE(SYSDATE, 'YYYY/MM/DD HH24:MI:SS'), BUNRUI='繰越', YOTEI='202304' where ID='5571';</t>
  </si>
  <si>
    <t>update CHUMON_MEISAI set UPDATED_DATE=TO_DATE(SYSDATE, 'YYYY/MM/DD HH24:MI:SS'), BUNRUI='繰越', YOTEI='202304' where ID='5572';</t>
  </si>
  <si>
    <t>update CHUMON_MEISAI set UPDATED_DATE=TO_DATE(SYSDATE, 'YYYY/MM/DD HH24:MI:SS'), BUNRUI='繰越', YOTEI='202304' where ID='5573';</t>
  </si>
  <si>
    <t>update CHUMON_MEISAI set UPDATED_DATE=TO_DATE(SYSDATE, 'YYYY/MM/DD HH24:MI:SS'), BUNRUI='繰越', YOTEI='202304' where ID='5574';</t>
  </si>
  <si>
    <t>update CHUMON_MEISAI set UPDATED_DATE=TO_DATE(SYSDATE, 'YYYY/MM/DD HH24:MI:SS'), BUNRUI='繰越', YOTEI='202304' where ID='5575';</t>
  </si>
  <si>
    <t>update CHUMON_MEISAI set UPDATED_DATE=TO_DATE(SYSDATE, 'YYYY/MM/DD HH24:MI:SS'), BUNRUI='繰越', YOTEI='202304' where ID='5576';</t>
  </si>
  <si>
    <t>update CHUMON_MEISAI set UPDATED_DATE=TO_DATE(SYSDATE, 'YYYY/MM/DD HH24:MI:SS'), BUNRUI='繰越', YOTEI='202304' where ID='5577';</t>
  </si>
  <si>
    <t>update CHUMON_MEISAI set UPDATED_DATE=TO_DATE(SYSDATE, 'YYYY/MM/DD HH24:MI:SS'), BUNRUI='繰越', YOTEI='202304' where ID='5578';</t>
  </si>
  <si>
    <t>update CHUMON_MEISAI set UPDATED_DATE=TO_DATE(SYSDATE, 'YYYY/MM/DD HH24:MI:SS'), BUNRUI='繰越', YOTEI='202304' where ID='5579';</t>
  </si>
  <si>
    <t>update CHUMON_MEISAI set UPDATED_DATE=TO_DATE(SYSDATE, 'YYYY/MM/DD HH24:MI:SS'), BUNRUI='繰越', YOTEI='202304' where ID='5580';</t>
  </si>
  <si>
    <t>update CHUMON_MEISAI set UPDATED_DATE=TO_DATE(SYSDATE, 'YYYY/MM/DD HH24:MI:SS'), BUNRUI='繰越', YOTEI='202304' where ID='5581';</t>
  </si>
  <si>
    <t>update CHUMON_MEISAI set UPDATED_DATE=TO_DATE(SYSDATE, 'YYYY/MM/DD HH24:MI:SS'), BUNRUI='繰越', YOTEI='202304' where ID='5582';</t>
  </si>
  <si>
    <t>update CHUMON_MEISAI set UPDATED_DATE=TO_DATE(SYSDATE, 'YYYY/MM/DD HH24:MI:SS'), BUNRUI='繰越', YOTEI='202304' where ID='5583';</t>
  </si>
  <si>
    <t>update CHUMON_MEISAI set UPDATED_DATE=TO_DATE(SYSDATE, 'YYYY/MM/DD HH24:MI:SS'), BUNRUI='繰越', YOTEI='202304' where ID='5584';</t>
  </si>
  <si>
    <t>update CHUMON_MEISAI set UPDATED_DATE=TO_DATE(SYSDATE, 'YYYY/MM/DD HH24:MI:SS'), BUNRUI='繰越', YOTEI='202304' where ID='5585';</t>
  </si>
  <si>
    <t>update CHUMON_MEISAI set UPDATED_DATE=TO_DATE(SYSDATE, 'YYYY/MM/DD HH24:MI:SS'), BUNRUI='繰越', YOTEI='202304' where ID='5586';</t>
  </si>
  <si>
    <t>update CHUMON_MEISAI set UPDATED_DATE=TO_DATE(SYSDATE, 'YYYY/MM/DD HH24:MI:SS'), BUNRUI='繰越', YOTEI='202304' where ID='5587';</t>
  </si>
  <si>
    <t>update CHUMON_MEISAI set UPDATED_DATE=TO_DATE(SYSDATE, 'YYYY/MM/DD HH24:MI:SS'), BUNRUI='繰越', YOTEI='202304' where ID='5588';</t>
  </si>
  <si>
    <t>update CHUMON_MEISAI set UPDATED_DATE=TO_DATE(SYSDATE, 'YYYY/MM/DD HH24:MI:SS'), BUNRUI='繰越', YOTEI='202304' where ID='5589';</t>
  </si>
  <si>
    <t>update CHUMON_MEISAI set UPDATED_DATE=TO_DATE(SYSDATE, 'YYYY/MM/DD HH24:MI:SS'), BUNRUI='繰越', YOTEI='202304' where ID='5590';</t>
  </si>
  <si>
    <t>update CHUMON_MEISAI set UPDATED_DATE=TO_DATE(SYSDATE, 'YYYY/MM/DD HH24:MI:SS'), BUNRUI='繰越', YOTEI='202304' where ID='5591';</t>
  </si>
  <si>
    <t>update CHUMON_MEISAI set UPDATED_DATE=TO_DATE(SYSDATE, 'YYYY/MM/DD HH24:MI:SS'), BUNRUI='繰越', YOTEI='202304' where ID='5592';</t>
  </si>
  <si>
    <t>update CHUMON_MEISAI set UPDATED_DATE=TO_DATE(SYSDATE, 'YYYY/MM/DD HH24:MI:SS'), BUNRUI='繰越', YOTEI='202304' where ID='5593';</t>
  </si>
  <si>
    <t>update CHUMON_MEISAI set UPDATED_DATE=TO_DATE(SYSDATE, 'YYYY/MM/DD HH24:MI:SS'), BUNRUI='繰越', YOTEI='202304' where ID='5594';</t>
  </si>
  <si>
    <t>update CHUMON_MEISAI set UPDATED_DATE=TO_DATE(SYSDATE, 'YYYY/MM/DD HH24:MI:SS'), BUNRUI='繰越', YOTEI='202304' where ID='5595';</t>
  </si>
  <si>
    <t>update CHUMON_MEISAI set UPDATED_DATE=TO_DATE(SYSDATE, 'YYYY/MM/DD HH24:MI:SS'), BUNRUI='繰越', YOTEI='202304' where ID='5596';</t>
  </si>
  <si>
    <t>update CHUMON_MEISAI set UPDATED_DATE=TO_DATE(SYSDATE, 'YYYY/MM/DD HH24:MI:SS'), BUNRUI='繰越', YOTEI='202304' where ID='5597';</t>
  </si>
  <si>
    <t>update CHUMON_MEISAI set UPDATED_DATE=TO_DATE(SYSDATE, 'YYYY/MM/DD HH24:MI:SS'), BUNRUI='繰越', YOTEI='202304' where ID='5598';</t>
  </si>
  <si>
    <t>update CHUMON_MEISAI set UPDATED_DATE=TO_DATE(SYSDATE, 'YYYY/MM/DD HH24:MI:SS'), BUNRUI='繰越', YOTEI='202304' where ID='5599';</t>
  </si>
  <si>
    <t>update CHUMON_MEISAI set UPDATED_DATE=TO_DATE(SYSDATE, 'YYYY/MM/DD HH24:MI:SS'), BUNRUI='繰越', YOTEI='202304' where ID='5600';</t>
  </si>
  <si>
    <t>update CHUMON_MEISAI set UPDATED_DATE=TO_DATE(SYSDATE, 'YYYY/MM/DD HH24:MI:SS'), BUNRUI='繰越', YOTEI='202304' where ID='5601';</t>
  </si>
  <si>
    <t>update CHUMON_MEISAI set UPDATED_DATE=TO_DATE(SYSDATE, 'YYYY/MM/DD HH24:MI:SS'), BUNRUI='繰越', YOTEI='202304' where ID='5602';</t>
  </si>
  <si>
    <t>update CHUMON_MEISAI set UPDATED_DATE=TO_DATE(SYSDATE, 'YYYY/MM/DD HH24:MI:SS'), BUNRUI='繰越', YOTEI='202304' where ID='5603';</t>
  </si>
  <si>
    <t>update CHUMON_MEISAI set UPDATED_DATE=TO_DATE(SYSDATE, 'YYYY/MM/DD HH24:MI:SS'), BUNRUI='繰越', YOTEI='202304' where ID='5604';</t>
  </si>
  <si>
    <t>update CHUMON_MEISAI set UPDATED_DATE=TO_DATE(SYSDATE, 'YYYY/MM/DD HH24:MI:SS'), BUNRUI='繰越', YOTEI='202304' where ID='5605';</t>
  </si>
  <si>
    <t>update CHUMON_MEISAI set UPDATED_DATE=TO_DATE(SYSDATE, 'YYYY/MM/DD HH24:MI:SS'), BUNRUI='繰越', YOTEI='202304' where ID='5606';</t>
  </si>
  <si>
    <t>update CHUMON_MEISAI set UPDATED_DATE=TO_DATE(SYSDATE, 'YYYY/MM/DD HH24:MI:SS'), BUNRUI='繰越', YOTEI='202304' where ID='5607';</t>
  </si>
  <si>
    <t>update CHUMON_MEISAI set UPDATED_DATE=TO_DATE(SYSDATE, 'YYYY/MM/DD HH24:MI:SS'), BUNRUI='繰越', YOTEI='202304' where ID='5608';</t>
  </si>
  <si>
    <t>update CHUMON_MEISAI set UPDATED_DATE=TO_DATE(SYSDATE, 'YYYY/MM/DD HH24:MI:SS'), BUNRUI='繰越', YOTEI='202304' where ID='5609';</t>
  </si>
  <si>
    <t>update CHUMON_MEISAI set UPDATED_DATE=TO_DATE(SYSDATE, 'YYYY/MM/DD HH24:MI:SS'), BUNRUI='繰越', YOTEI='202304' where ID='5610';</t>
  </si>
  <si>
    <t>update CHUMON_MEISAI set UPDATED_DATE=TO_DATE(SYSDATE, 'YYYY/MM/DD HH24:MI:SS'), BUNRUI='繰越', YOTEI='202304' where ID='5611';</t>
  </si>
  <si>
    <t>update CHUMON_MEISAI set UPDATED_DATE=TO_DATE(SYSDATE, 'YYYY/MM/DD HH24:MI:SS'), BUNRUI='繰越', YOTEI='202304' where ID='5612';</t>
  </si>
  <si>
    <t>update CHUMON_MEISAI set UPDATED_DATE=TO_DATE(SYSDATE, 'YYYY/MM/DD HH24:MI:SS'), BUNRUI='繰越', YOTEI='202304' where ID='5613';</t>
  </si>
  <si>
    <t>update CHUMON_MEISAI set UPDATED_DATE=TO_DATE(SYSDATE, 'YYYY/MM/DD HH24:MI:SS'), BUNRUI='繰越', YOTEI='202304' where ID='5614';</t>
  </si>
  <si>
    <t>update CHUMON_MEISAI set UPDATED_DATE=TO_DATE(SYSDATE, 'YYYY/MM/DD HH24:MI:SS'), BUNRUI='繰越', YOTEI='202304' where ID='5615';</t>
  </si>
  <si>
    <t>update CHUMON_MEISAI set UPDATED_DATE=TO_DATE(SYSDATE, 'YYYY/MM/DD HH24:MI:SS'), BUNRUI='繰越', YOTEI='202304' where ID='5616';</t>
  </si>
  <si>
    <t>update CHUMON_MEISAI set UPDATED_DATE=TO_DATE(SYSDATE, 'YYYY/MM/DD HH24:MI:SS'), BUNRUI='繰越', YOTEI='202304' where ID='5617';</t>
  </si>
  <si>
    <t>update CHUMON_MEISAI set UPDATED_DATE=TO_DATE(SYSDATE, 'YYYY/MM/DD HH24:MI:SS'), BUNRUI='繰越', YOTEI='202304' where ID='5618';</t>
  </si>
  <si>
    <t>update CHUMON_MEISAI set UPDATED_DATE=TO_DATE(SYSDATE, 'YYYY/MM/DD HH24:MI:SS'), BUNRUI='繰越', YOTEI='202304' where ID='5619';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</si>
</sst>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);[Red]\(#,##0\)"/>
    <numFmt numFmtId="177" formatCode="yyyy/mm"/>
    <numFmt numFmtId="178" formatCode="#,##0_ "/>
  </numFmts>
  <fonts count="13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1"/>
      <name val="ＭＳ ゴシック"/>
      <family val="3"/>
      <charset val="128"/>
    </font>
    <font>
      <sz val="10"/>
      <color rgb="FF0080FF"/>
      <name val="ＭＳ ゴシック"/>
      <family val="3"/>
      <charset val="128"/>
    </font>
    <font>
      <sz val="10"/>
      <color rgb="FF808080"/>
      <name val="ＭＳ ゴシック"/>
      <family val="3"/>
      <charset val="128"/>
    </font>
    <font>
      <b/>
      <sz val="11"/>
      <color theme="0"/>
      <name val="Meiryo UI"/>
      <family val="2"/>
      <charset val="128"/>
    </font>
    <font>
      <sz val="11"/>
      <color theme="1"/>
      <name val="Meiryo UI"/>
      <family val="2"/>
      <charset val="128"/>
    </font>
    <font>
      <sz val="10"/>
      <color rgb="FFFF2800"/>
      <name val="ＭＳ ゴシック"/>
      <family val="3"/>
      <charset val="128"/>
    </font>
    <font>
      <b/>
      <sz val="11"/>
      <color theme="0"/>
      <name val="Meiryo UI"/>
      <family val="3"/>
      <charset val="128"/>
    </font>
    <font>
      <b/>
      <sz val="11"/>
      <name val="Meiryo UI"/>
      <family val="2"/>
      <charset val="128"/>
    </font>
    <font>
      <sz val="16"/>
      <color rgb="FF00000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8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5" borderId="0" xfId="0" applyNumberFormat="1" applyFill="1">
      <alignment vertical="center"/>
    </xf>
    <xf numFmtId="0" fontId="5" fillId="3" borderId="0" xfId="0" applyFont="1" applyFill="1" applyAlignment="1">
      <alignment vertical="center" shrinkToFit="1"/>
    </xf>
    <xf numFmtId="14" fontId="3" fillId="3" borderId="0" xfId="0" applyNumberFormat="1" applyFont="1" applyFill="1" applyAlignment="1">
      <alignment vertical="center" shrinkToFit="1"/>
    </xf>
    <xf numFmtId="0" fontId="4" fillId="3" borderId="0" xfId="0" applyFont="1" applyFill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8" xfId="0" applyBorder="1">
      <alignment vertical="center"/>
    </xf>
    <xf numFmtId="49" fontId="0" fillId="0" borderId="8" xfId="0" applyNumberFormat="1" applyBorder="1">
      <alignment vertical="center"/>
    </xf>
    <xf numFmtId="0" fontId="5" fillId="0" borderId="0" xfId="0" applyFont="1">
      <alignment vertical="center"/>
    </xf>
    <xf numFmtId="178" fontId="0" fillId="0" borderId="0" xfId="0" applyNumberFormat="1">
      <alignment vertical="center"/>
    </xf>
    <xf numFmtId="0" fontId="0" fillId="8" borderId="1" xfId="0" applyFill="1" applyBorder="1">
      <alignment vertical="center"/>
    </xf>
    <xf numFmtId="49" fontId="7" fillId="7" borderId="1" xfId="0" applyNumberFormat="1" applyFont="1" applyFill="1" applyBorder="1">
      <alignment vertical="center"/>
    </xf>
    <xf numFmtId="177" fontId="0" fillId="9" borderId="1" xfId="0" applyNumberFormat="1" applyFill="1" applyBorder="1">
      <alignment vertical="center"/>
    </xf>
    <xf numFmtId="176" fontId="10" fillId="0" borderId="9" xfId="1" applyNumberFormat="1" applyFont="1" applyFill="1" applyBorder="1" applyAlignment="1">
      <alignment horizontal="center" vertical="center" shrinkToFit="1"/>
    </xf>
    <xf numFmtId="49" fontId="7" fillId="0" borderId="10" xfId="0" applyNumberFormat="1" applyFont="1" applyBorder="1" applyAlignment="1">
      <alignment horizontal="center" vertical="center"/>
    </xf>
    <xf numFmtId="38" fontId="0" fillId="0" borderId="0" xfId="1" applyFont="1">
      <alignment vertical="center"/>
    </xf>
    <xf numFmtId="0" fontId="7" fillId="0" borderId="9" xfId="0" applyFont="1" applyBorder="1">
      <alignment vertical="center"/>
    </xf>
    <xf numFmtId="38" fontId="0" fillId="0" borderId="13" xfId="1" applyFont="1" applyFill="1" applyBorder="1" applyAlignment="1">
      <alignment horizontal="center" vertical="center"/>
    </xf>
    <xf numFmtId="38" fontId="0" fillId="0" borderId="1" xfId="1" applyFont="1" applyFill="1" applyBorder="1">
      <alignment vertical="center"/>
    </xf>
    <xf numFmtId="38" fontId="0" fillId="0" borderId="1" xfId="1" applyFont="1" applyBorder="1">
      <alignment vertical="center"/>
    </xf>
    <xf numFmtId="49" fontId="11" fillId="6" borderId="9" xfId="0" applyNumberFormat="1" applyFont="1" applyFill="1" applyBorder="1" applyAlignment="1">
      <alignment horizontal="center" vertical="center"/>
    </xf>
    <xf numFmtId="49" fontId="7" fillId="7" borderId="1" xfId="0" applyNumberFormat="1" applyFont="1" applyFill="1" applyBorder="1" applyAlignment="1">
      <alignment horizontal="left" vertical="center"/>
    </xf>
    <xf numFmtId="176" fontId="10" fillId="7" borderId="12" xfId="1" applyNumberFormat="1" applyFont="1" applyFill="1" applyBorder="1" applyAlignment="1">
      <alignment horizontal="left" vertical="center" shrinkToFit="1"/>
    </xf>
    <xf numFmtId="0" fontId="0" fillId="8" borderId="3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2" xfId="0" applyFill="1" applyBorder="1">
      <alignment vertical="center"/>
    </xf>
    <xf numFmtId="49" fontId="0" fillId="0" borderId="14" xfId="0" applyNumberFormat="1" applyBorder="1" applyAlignment="1">
      <alignment horizontal="center" vertical="center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7" xfId="0" applyNumberFormat="1" applyFill="1" applyBorder="1" applyAlignment="1">
      <alignment horizontal="left" vertical="center"/>
    </xf>
    <xf numFmtId="14" fontId="0" fillId="6" borderId="2" xfId="0" applyNumberFormat="1" applyFill="1" applyBorder="1" applyAlignment="1">
      <alignment horizontal="left" vertical="center"/>
    </xf>
    <xf numFmtId="14" fontId="0" fillId="6" borderId="3" xfId="0" applyNumberFormat="1" applyFill="1" applyBorder="1" applyAlignment="1">
      <alignment horizontal="left" vertical="center"/>
    </xf>
    <xf numFmtId="49" fontId="0" fillId="6" borderId="3" xfId="0" applyNumberFormat="1" applyFill="1" applyBorder="1" applyAlignment="1">
      <alignment horizontal="left" vertical="center"/>
    </xf>
    <xf numFmtId="49" fontId="0" fillId="6" borderId="7" xfId="0" applyNumberFormat="1" applyFill="1" applyBorder="1" applyAlignment="1">
      <alignment horizontal="left" vertical="center"/>
    </xf>
    <xf numFmtId="177" fontId="0" fillId="0" borderId="4" xfId="0" applyNumberFormat="1" applyBorder="1" applyAlignment="1">
      <alignment horizontal="left" vertical="center"/>
    </xf>
    <xf numFmtId="177" fontId="0" fillId="0" borderId="5" xfId="0" applyNumberFormat="1" applyBorder="1" applyAlignment="1">
      <alignment horizontal="left" vertical="center"/>
    </xf>
    <xf numFmtId="177" fontId="0" fillId="0" borderId="6" xfId="0" applyNumberFormat="1" applyBorder="1" applyAlignment="1">
      <alignment horizontal="left" vertical="center"/>
    </xf>
    <xf numFmtId="49" fontId="0" fillId="6" borderId="2" xfId="0" applyNumberFormat="1" applyFill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0" borderId="5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2" xfId="0" applyNumberFormat="1" applyFill="1" applyBorder="1">
      <alignment vertical="center"/>
    </xf>
    <xf numFmtId="0" fontId="0" fillId="0" borderId="0" xfId="0" applyFill="1">
      <alignment vertical="center"/>
    </xf>
    <xf numFmtId="0" fontId="0" fillId="0" borderId="1" xfId="0" applyNumberFormat="1" applyFill="1" applyBorder="1">
      <alignment vertical="center"/>
    </xf>
    <xf numFmtId="0" fontId="0" fillId="0" borderId="8" xfId="0" applyNumberFormat="1" applyFill="1" applyBorder="1">
      <alignment vertical="center"/>
    </xf>
    <xf numFmtId="49" fontId="0" fillId="0" borderId="8" xfId="0" applyNumberFormat="1" applyFill="1" applyBorder="1">
      <alignment vertical="center"/>
    </xf>
    <xf numFmtId="49" fontId="0" fillId="0" borderId="15" xfId="0" applyNumberFormat="1" applyFill="1" applyBorder="1">
      <alignment vertical="center"/>
    </xf>
    <xf numFmtId="38" fontId="0" fillId="0" borderId="8" xfId="1" applyFont="1" applyFill="1" applyBorder="1">
      <alignment vertical="center"/>
    </xf>
    <xf numFmtId="177" fontId="7" fillId="7" borderId="1" xfId="0" applyNumberFormat="1" applyFont="1" applyFill="1" applyBorder="1" applyAlignment="1">
      <alignment horizontal="left" vertical="center"/>
    </xf>
    <xf numFmtId="177" fontId="0" fillId="8" borderId="3" xfId="0" applyNumberFormat="1" applyFill="1" applyBorder="1">
      <alignment vertical="center"/>
    </xf>
    <xf numFmtId="177" fontId="0" fillId="0" borderId="11" xfId="0" applyNumberFormat="1" applyFill="1" applyBorder="1">
      <alignment vertical="center"/>
    </xf>
    <xf numFmtId="177" fontId="0" fillId="0" borderId="16" xfId="0" applyNumberFormat="1" applyFill="1" applyBorder="1">
      <alignment vertical="center"/>
    </xf>
    <xf numFmtId="177" fontId="0" fillId="0" borderId="0" xfId="0" applyNumberFormat="1">
      <alignment vertical="center"/>
    </xf>
    <xf numFmtId="38" fontId="0" fillId="0" borderId="3" xfId="1" applyFont="1" applyFill="1" applyBorder="1">
      <alignment vertical="center"/>
    </xf>
    <xf numFmtId="0" fontId="0" fillId="0" borderId="11" xfId="0" applyFill="1" applyBorder="1">
      <alignment vertical="center"/>
    </xf>
    <xf numFmtId="38" fontId="0" fillId="0" borderId="17" xfId="1" applyFont="1" applyFill="1" applyBorder="1">
      <alignment vertical="center"/>
    </xf>
    <xf numFmtId="0" fontId="0" fillId="0" borderId="16" xfId="0" applyFill="1" applyBorder="1">
      <alignment vertical="center"/>
    </xf>
    <xf numFmtId="176" fontId="0" fillId="0" borderId="11" xfId="1" applyNumberFormat="1" applyFont="1" applyFill="1" applyBorder="1" applyAlignment="1">
      <alignment vertical="center" shrinkToFit="1"/>
    </xf>
    <xf numFmtId="176" fontId="0" fillId="0" borderId="16" xfId="1" applyNumberFormat="1" applyFont="1" applyFill="1" applyBorder="1" applyAlignment="1">
      <alignment vertical="center" shrinkToFit="1"/>
    </xf>
    <xf numFmtId="177" fontId="11" fillId="6" borderId="1" xfId="0" applyNumberFormat="1" applyFont="1" applyFill="1" applyBorder="1" applyAlignment="1">
      <alignment horizontal="center" vertical="center"/>
    </xf>
    <xf numFmtId="177" fontId="0" fillId="0" borderId="1" xfId="0" applyNumberFormat="1" applyFill="1" applyBorder="1">
      <alignment vertical="center"/>
    </xf>
  </cellXfs>
  <cellStyles count="2">
    <cellStyle name="桁区切り" xfId="1" builtinId="6"/>
    <cellStyle name="標準" xfId="0" builtinId="0"/>
  </cellStyles>
  <dxfs count="14"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#,##0_);[Red]\(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7" formatCode="yyyy/mm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000080"/>
      <color rgb="FFCCFFCC"/>
      <color rgb="FFFFFFCC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</xdr:row>
          <xdr:rowOff>0</xdr:rowOff>
        </xdr:from>
        <xdr:to>
          <xdr:col>7</xdr:col>
          <xdr:colOff>171450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3</xdr:row>
          <xdr:rowOff>190500</xdr:rowOff>
        </xdr:from>
        <xdr:to>
          <xdr:col>14</xdr:col>
          <xdr:colOff>76200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19050</xdr:rowOff>
        </xdr:from>
        <xdr:to>
          <xdr:col>12</xdr:col>
          <xdr:colOff>638175</xdr:colOff>
          <xdr:row>1</xdr:row>
          <xdr:rowOff>142875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19050</xdr:rowOff>
        </xdr:from>
        <xdr:to>
          <xdr:col>14</xdr:col>
          <xdr:colOff>466725</xdr:colOff>
          <xdr:row>1</xdr:row>
          <xdr:rowOff>142875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BD2714-79D6-4E67-8362-E75F54739853}" name="S40_結果画面" displayName="S40_結果画面" ref="A3:K183" totalsRowShown="0" headerRowDxfId="13" dataDxfId="1" headerRowBorderDxfId="12">
  <autoFilter ref="A3:K183" xr:uid="{E8BD2714-79D6-4E67-8362-E75F54739853}"/>
  <tableColumns count="11">
    <tableColumn id="1" xr3:uid="{CA4623A1-4F34-493C-99F4-75200A0F3D7B}" name="行" dataDxfId="0"/>
    <tableColumn id="13" xr3:uid="{B1BBDDDC-C47A-4318-AFB8-0973EAC238D9}" name="ID" dataDxfId="11"/>
    <tableColumn id="4" xr3:uid="{179B76ED-4064-4852-977D-1A8028796904}" name="品名" dataDxfId="10"/>
    <tableColumn id="5" xr3:uid="{53D4A24F-324D-451F-AEC4-E20CFEEE5B78}" name="コード3" dataDxfId="9"/>
    <tableColumn id="6" xr3:uid="{D90CFE17-9362-4C84-8C83-947B90D00250}" name="購入先" dataDxfId="8"/>
    <tableColumn id="7" xr3:uid="{23BD0302-F794-44A6-B704-9B02D8BC01E3}" name="分類" dataDxfId="7"/>
    <tableColumn id="8" xr3:uid="{C6227290-9C34-494C-B2A7-50B70501EFB5}" name="予定月" dataDxfId="6"/>
    <tableColumn id="9" xr3:uid="{84B07C5B-054E-4E59-A90E-6771EE420012}" name="数量" dataDxfId="5" dataCellStyle="桁区切り"/>
    <tableColumn id="3" xr3:uid="{16071820-D381-4A22-A9DD-34C59CD0CF3A}" name="単価" dataDxfId="4" dataCellStyle="桁区切り"/>
    <tableColumn id="11" xr3:uid="{1F5ADDD9-4F93-46E0-B397-C1AC4455D4BF}" name="金額" dataDxfId="3" dataCellStyle="桁区切り"/>
    <tableColumn id="12" xr3:uid="{DCC1A58C-542E-4691-9F7D-3C65F205D7FD}" name="FLG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30F55-9FE1-4FC9-85FF-CF1164008A2D}">
  <sheetPr codeName="mainSheet"/>
  <dimension ref="A1:Z20"/>
  <sheetViews>
    <sheetView showGridLines="0" workbookViewId="0">
      <selection activeCell="H7" sqref="H7"/>
    </sheetView>
  </sheetViews>
  <sheetFormatPr defaultColWidth="2.77734375" defaultRowHeight="15.75"/>
  <cols>
    <col min="1" max="16384" width="2.77734375" style="1"/>
  </cols>
  <sheetData>
    <row r="1" spans="1:26" ht="16.5" thickBot="1">
      <c r="B1" s="45" t="s">
        <v>75</v>
      </c>
      <c r="C1" s="40"/>
      <c r="D1" s="40"/>
      <c r="E1" s="41"/>
      <c r="F1" s="46" t="s">
        <v>82</v>
      </c>
      <c r="G1" s="47"/>
      <c r="H1" s="47"/>
      <c r="I1" s="45" t="s">
        <v>76</v>
      </c>
      <c r="J1" s="40"/>
      <c r="K1" s="40"/>
      <c r="L1" s="41"/>
      <c r="M1" s="46" t="s">
        <v>84</v>
      </c>
      <c r="N1" s="47"/>
      <c r="O1" s="47"/>
      <c r="P1" s="48"/>
      <c r="Q1" s="35" t="s">
        <v>35</v>
      </c>
      <c r="R1" s="36"/>
      <c r="S1" s="36"/>
      <c r="T1" s="37"/>
      <c r="U1" s="34" t="s">
        <v>2</v>
      </c>
      <c r="V1" s="34"/>
      <c r="W1" s="34" t="s">
        <v>2</v>
      </c>
      <c r="X1" s="34"/>
      <c r="Y1" s="34" t="s">
        <v>2</v>
      </c>
      <c r="Z1" s="34"/>
    </row>
    <row r="2" spans="1:26" ht="16.5" thickBot="1">
      <c r="B2" s="38" t="s">
        <v>74</v>
      </c>
      <c r="C2" s="39"/>
      <c r="D2" s="40"/>
      <c r="E2" s="41"/>
      <c r="F2" s="42" t="s">
        <v>87</v>
      </c>
      <c r="G2" s="43"/>
      <c r="H2" s="44"/>
    </row>
    <row r="3" spans="1:26">
      <c r="F3" s="1" t="s">
        <v>83</v>
      </c>
      <c r="M3" s="1" t="s">
        <v>85</v>
      </c>
    </row>
    <row r="4" spans="1:26">
      <c r="F4" s="1" t="s">
        <v>267</v>
      </c>
    </row>
    <row r="9" spans="1:26">
      <c r="A9" s="1" t="s">
        <v>267</v>
      </c>
    </row>
    <row r="10" spans="1:26">
      <c r="A10" s="1" t="s">
        <v>297</v>
      </c>
    </row>
    <row r="11" spans="1:26">
      <c r="A11" s="1" t="s">
        <v>294</v>
      </c>
    </row>
    <row r="12" spans="1:26">
      <c r="A12" s="1" t="s">
        <v>298</v>
      </c>
    </row>
    <row r="13" spans="1:26">
      <c r="A13" s="1" t="s">
        <v>299</v>
      </c>
    </row>
    <row r="14" spans="1:26">
      <c r="A14" s="1" t="s">
        <v>300</v>
      </c>
    </row>
    <row r="15" spans="1:26">
      <c r="A15" s="1" t="s">
        <v>301</v>
      </c>
    </row>
    <row r="16" spans="1:26">
      <c r="A16" s="1" t="s">
        <v>302</v>
      </c>
    </row>
    <row r="17" spans="1:1">
      <c r="A17" s="1" t="s">
        <v>303</v>
      </c>
    </row>
    <row r="18" spans="1:1">
      <c r="A18" s="1" t="s">
        <v>304</v>
      </c>
    </row>
    <row r="19" spans="1:1">
      <c r="A19" s="1" t="s">
        <v>305</v>
      </c>
    </row>
    <row r="20" spans="1:1">
      <c r="A20" s="1" t="s">
        <v>306</v>
      </c>
    </row>
  </sheetData>
  <mergeCells count="10">
    <mergeCell ref="Y1:Z1"/>
    <mergeCell ref="Q1:T1"/>
    <mergeCell ref="B2:E2"/>
    <mergeCell ref="F2:H2"/>
    <mergeCell ref="B1:E1"/>
    <mergeCell ref="F1:H1"/>
    <mergeCell ref="I1:L1"/>
    <mergeCell ref="M1:P1"/>
    <mergeCell ref="U1:V1"/>
    <mergeCell ref="W1:X1"/>
  </mergeCells>
  <phoneticPr fontId="1"/>
  <dataValidations count="1">
    <dataValidation type="list" allowBlank="1" showInputMessage="1" showErrorMessage="1" sqref="F2:H2" xr:uid="{E3FF30E3-EB24-4ACE-99C0-98849F6DB4E2}">
      <formula1>$A$9:$A$20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クロ_検索">
                <anchor moveWithCells="1">
                  <from>
                    <xdr:col>2</xdr:col>
                    <xdr:colOff>171450</xdr:colOff>
                    <xdr:row>4</xdr:row>
                    <xdr:rowOff>0</xdr:rowOff>
                  </from>
                  <to>
                    <xdr:col>7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マクロ_クリア">
                <anchor moveWithCells="1">
                  <from>
                    <xdr:col>9</xdr:col>
                    <xdr:colOff>76200</xdr:colOff>
                    <xdr:row>3</xdr:row>
                    <xdr:rowOff>190500</xdr:rowOff>
                  </from>
                  <to>
                    <xdr:col>14</xdr:col>
                    <xdr:colOff>76200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1023-410C-48BA-AF83-9875644320C2}">
  <sheetPr codeName="setteiSheet"/>
  <dimension ref="A1:D22"/>
  <sheetViews>
    <sheetView topLeftCell="A7" zoomScale="115" zoomScaleNormal="115" workbookViewId="0">
      <selection activeCell="C16" sqref="C16"/>
    </sheetView>
  </sheetViews>
  <sheetFormatPr defaultRowHeight="15.75"/>
  <cols>
    <col min="1" max="1" width="36.6640625" style="13" bestFit="1" customWidth="1"/>
    <col min="2" max="2" width="18.88671875" bestFit="1" customWidth="1"/>
    <col min="3" max="4" width="11.5546875" bestFit="1" customWidth="1"/>
  </cols>
  <sheetData>
    <row r="1" spans="1:4">
      <c r="A1" t="s">
        <v>72</v>
      </c>
      <c r="B1" s="5" t="s">
        <v>3</v>
      </c>
      <c r="C1" s="4" t="s">
        <v>4</v>
      </c>
    </row>
    <row r="2" spans="1:4">
      <c r="A2" s="10" t="s">
        <v>38</v>
      </c>
      <c r="B2" s="8"/>
    </row>
    <row r="3" spans="1:4">
      <c r="A3" s="10" t="s">
        <v>77</v>
      </c>
      <c r="B3" s="8"/>
    </row>
    <row r="4" spans="1:4">
      <c r="A4" s="10" t="s">
        <v>281</v>
      </c>
      <c r="B4" s="8"/>
    </row>
    <row r="5" spans="1:4">
      <c r="A5" s="12" t="s">
        <v>15</v>
      </c>
    </row>
    <row r="6" spans="1:4">
      <c r="A6" s="12" t="s">
        <v>16</v>
      </c>
    </row>
    <row r="7" spans="1:4">
      <c r="A7" s="12" t="s">
        <v>269</v>
      </c>
    </row>
    <row r="8" spans="1:4">
      <c r="A8" s="12" t="s">
        <v>277</v>
      </c>
    </row>
    <row r="9" spans="1:4">
      <c r="A9" s="12" t="s">
        <v>290</v>
      </c>
      <c r="B9" t="s">
        <v>291</v>
      </c>
    </row>
    <row r="10" spans="1:4">
      <c r="A10" s="12" t="s">
        <v>272</v>
      </c>
    </row>
    <row r="11" spans="1:4">
      <c r="A11" s="12" t="s">
        <v>270</v>
      </c>
    </row>
    <row r="12" spans="1:4">
      <c r="A12" s="12" t="s">
        <v>288</v>
      </c>
      <c r="B12" t="s">
        <v>289</v>
      </c>
    </row>
    <row r="13" spans="1:4">
      <c r="A13" s="12" t="s">
        <v>280</v>
      </c>
    </row>
    <row r="14" spans="1:4">
      <c r="A14" s="10" t="s">
        <v>271</v>
      </c>
    </row>
    <row r="15" spans="1:4">
      <c r="A15" s="10" t="s">
        <v>37</v>
      </c>
    </row>
    <row r="16" spans="1:4">
      <c r="A16" s="11" t="str">
        <f>"    (YOTEI = '"&amp;C16&amp;"' "&amp;IF(C16="",B16,"") &amp; ")"</f>
        <v xml:space="preserve">    (YOTEI = '202304' )</v>
      </c>
      <c r="B16" s="9" t="s">
        <v>71</v>
      </c>
      <c r="C16" s="4" t="str">
        <f>IF(YOTEI&lt;&gt;"", TEXT(YOTEI,"YYYYMM"), "")</f>
        <v>202304</v>
      </c>
      <c r="D16" t="s">
        <v>73</v>
      </c>
    </row>
    <row r="17" spans="1:4">
      <c r="A17" s="11" t="str">
        <f>"    and (Code1 like '"&amp;C17&amp;"%' "&amp;IF(C17="",B17,"") &amp; ")"</f>
        <v xml:space="preserve">    and (Code1 like '26A%' )</v>
      </c>
      <c r="B17" s="9" t="s">
        <v>33</v>
      </c>
      <c r="C17" s="4" t="str">
        <f>IF(Code1&lt;&gt;"", Code1, "")</f>
        <v>26A</v>
      </c>
      <c r="D17" t="s">
        <v>287</v>
      </c>
    </row>
    <row r="18" spans="1:4">
      <c r="A18" s="11" t="str">
        <f>"    and (Code2 like '"&amp;C18&amp;"%' "&amp;IF(C18="",B18,"") &amp; ")"</f>
        <v xml:space="preserve">    and (Code2 like '80000300%' )</v>
      </c>
      <c r="B18" s="9" t="s">
        <v>34</v>
      </c>
      <c r="C18" s="4" t="str">
        <f>IF(Code2&lt;&gt;"", Code2, "")</f>
        <v>80000300</v>
      </c>
      <c r="D18" t="s">
        <v>287</v>
      </c>
    </row>
    <row r="19" spans="1:4">
      <c r="A19" s="11" t="str">
        <f>"    and (Code3 like '"&amp;C19&amp;"%' "&amp;IF(C19="",B19,"") &amp; ")"</f>
        <v xml:space="preserve">    and (Code3 like '%' or Code3 is null)</v>
      </c>
      <c r="B19" s="9" t="s">
        <v>36</v>
      </c>
      <c r="C19" s="4" t="str">
        <f>IF(Code3_1&lt;&gt;"", Code3_1, "")</f>
        <v/>
      </c>
      <c r="D19" t="s">
        <v>5</v>
      </c>
    </row>
    <row r="20" spans="1:4">
      <c r="A20" s="10" t="s">
        <v>70</v>
      </c>
    </row>
    <row r="22" spans="1:4">
      <c r="A22" s="16" t="s">
        <v>273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5009C-1FF2-4046-AF8C-701EA132CC54}">
  <sheetPr codeName="listSheet"/>
  <dimension ref="A1"/>
  <sheetViews>
    <sheetView workbookViewId="0"/>
  </sheetViews>
  <sheetFormatPr defaultRowHeight="15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F370D-DF2B-40C2-9A2B-FCE3F974B168}">
  <sheetPr codeName="srcSheet"/>
  <dimension ref="A3:K183"/>
  <sheetViews>
    <sheetView showGridLines="0" workbookViewId="0">
      <selection activeCell="A2" sqref="A2:XFD2"/>
    </sheetView>
  </sheetViews>
  <sheetFormatPr defaultRowHeight="15.75"/>
  <cols>
    <col min="1" max="1" width="3.21875" bestFit="1" customWidth="1"/>
    <col min="2" max="2" width="5.5546875" bestFit="1" customWidth="1"/>
    <col min="3" max="3" width="5.6640625" bestFit="1" customWidth="1"/>
    <col min="4" max="4" width="6.21875" bestFit="1" customWidth="1"/>
    <col min="5" max="5" width="6.5546875" bestFit="1" customWidth="1"/>
    <col min="6" max="6" width="4.88671875" bestFit="1" customWidth="1"/>
    <col min="7" max="7" width="8.33203125" bestFit="1" customWidth="1"/>
    <col min="8" max="9" width="6.6640625" style="17" bestFit="1" customWidth="1"/>
    <col min="10" max="10" width="10.21875" style="17" bestFit="1" customWidth="1"/>
  </cols>
  <sheetData>
    <row r="3" spans="1:11">
      <c r="A3" t="s">
        <v>78</v>
      </c>
      <c r="B3" t="s">
        <v>282</v>
      </c>
      <c r="C3" t="s">
        <v>7</v>
      </c>
      <c r="D3" t="s">
        <v>20</v>
      </c>
      <c r="E3" t="s">
        <v>6</v>
      </c>
      <c r="F3" t="s">
        <v>278</v>
      </c>
      <c r="G3" t="s">
        <v>292</v>
      </c>
      <c r="H3" s="17" t="s">
        <v>268</v>
      </c>
      <c r="I3" s="17" t="s">
        <v>275</v>
      </c>
      <c r="J3" s="17" t="s">
        <v>293</v>
      </c>
      <c r="K3" t="s">
        <v>8</v>
      </c>
    </row>
    <row r="4" spans="1:11">
      <c r="B4">
        <v>5440</v>
      </c>
      <c r="C4" t="s">
        <v>307</v>
      </c>
      <c r="D4" t="s">
        <v>21</v>
      </c>
      <c r="E4" t="s">
        <v>86</v>
      </c>
      <c r="F4" t="s">
        <v>311</v>
      </c>
      <c r="G4" t="s">
        <v>87</v>
      </c>
      <c r="H4" s="17">
        <v>1000</v>
      </c>
      <c r="I4" s="17">
        <v>2000</v>
      </c>
      <c r="J4" s="17">
        <v>2000000</v>
      </c>
    </row>
    <row r="5" spans="1:11">
      <c r="B5">
        <v>5441</v>
      </c>
      <c r="C5" t="s">
        <v>308</v>
      </c>
      <c r="D5" t="s">
        <v>21</v>
      </c>
      <c r="E5" t="s">
        <v>86</v>
      </c>
      <c r="F5" t="s">
        <v>311</v>
      </c>
      <c r="G5" t="s">
        <v>87</v>
      </c>
      <c r="H5" s="17">
        <v>1000</v>
      </c>
      <c r="I5" s="17">
        <v>2000</v>
      </c>
      <c r="J5" s="17">
        <v>2000000</v>
      </c>
    </row>
    <row r="6" spans="1:11">
      <c r="B6">
        <v>5442</v>
      </c>
      <c r="C6" t="s">
        <v>309</v>
      </c>
      <c r="D6" t="s">
        <v>22</v>
      </c>
      <c r="E6" t="s">
        <v>86</v>
      </c>
      <c r="F6" t="s">
        <v>311</v>
      </c>
      <c r="G6" t="s">
        <v>87</v>
      </c>
      <c r="H6" s="17">
        <v>1000</v>
      </c>
      <c r="I6" s="17">
        <v>2000</v>
      </c>
      <c r="J6" s="17">
        <v>2000000</v>
      </c>
    </row>
    <row r="7" spans="1:11">
      <c r="B7">
        <v>5443</v>
      </c>
      <c r="C7" t="s">
        <v>310</v>
      </c>
      <c r="D7" t="s">
        <v>22</v>
      </c>
      <c r="E7" t="s">
        <v>86</v>
      </c>
      <c r="F7" t="s">
        <v>311</v>
      </c>
      <c r="G7" t="s">
        <v>87</v>
      </c>
      <c r="H7" s="17">
        <v>1000</v>
      </c>
      <c r="I7" s="17">
        <v>2000</v>
      </c>
      <c r="J7" s="17">
        <v>2000000</v>
      </c>
    </row>
    <row r="8" spans="1:11">
      <c r="B8">
        <v>5444</v>
      </c>
      <c r="C8" t="s">
        <v>88</v>
      </c>
      <c r="D8" t="s">
        <v>22</v>
      </c>
      <c r="E8" t="s">
        <v>86</v>
      </c>
      <c r="F8" t="s">
        <v>311</v>
      </c>
      <c r="G8" t="s">
        <v>87</v>
      </c>
      <c r="H8" s="17">
        <v>1000</v>
      </c>
      <c r="I8" s="17">
        <v>2000</v>
      </c>
      <c r="J8" s="17">
        <v>2000000</v>
      </c>
    </row>
    <row r="9" spans="1:11">
      <c r="B9">
        <v>5445</v>
      </c>
      <c r="C9" t="s">
        <v>89</v>
      </c>
      <c r="D9" t="s">
        <v>22</v>
      </c>
      <c r="E9" t="s">
        <v>86</v>
      </c>
      <c r="F9" t="s">
        <v>311</v>
      </c>
      <c r="G9" t="s">
        <v>87</v>
      </c>
      <c r="H9" s="17">
        <v>1000</v>
      </c>
      <c r="I9" s="17">
        <v>2000</v>
      </c>
      <c r="J9" s="17">
        <v>2000000</v>
      </c>
    </row>
    <row r="10" spans="1:11">
      <c r="B10">
        <v>5446</v>
      </c>
      <c r="C10" t="s">
        <v>90</v>
      </c>
      <c r="D10" t="s">
        <v>22</v>
      </c>
      <c r="E10" t="s">
        <v>86</v>
      </c>
      <c r="F10" t="s">
        <v>311</v>
      </c>
      <c r="G10" t="s">
        <v>87</v>
      </c>
      <c r="H10" s="17">
        <v>1000</v>
      </c>
      <c r="I10" s="17">
        <v>2000</v>
      </c>
      <c r="J10" s="17">
        <v>2000000</v>
      </c>
    </row>
    <row r="11" spans="1:11">
      <c r="B11">
        <v>5447</v>
      </c>
      <c r="C11" t="s">
        <v>91</v>
      </c>
      <c r="D11" t="s">
        <v>22</v>
      </c>
      <c r="E11" t="s">
        <v>86</v>
      </c>
      <c r="F11" t="s">
        <v>311</v>
      </c>
      <c r="G11" t="s">
        <v>87</v>
      </c>
      <c r="H11" s="17">
        <v>1000</v>
      </c>
      <c r="I11" s="17">
        <v>2000</v>
      </c>
      <c r="J11" s="17">
        <v>2000000</v>
      </c>
    </row>
    <row r="12" spans="1:11">
      <c r="B12">
        <v>5448</v>
      </c>
      <c r="C12" t="s">
        <v>92</v>
      </c>
      <c r="D12" t="s">
        <v>22</v>
      </c>
      <c r="E12" t="s">
        <v>86</v>
      </c>
      <c r="F12" t="s">
        <v>311</v>
      </c>
      <c r="G12" t="s">
        <v>87</v>
      </c>
      <c r="H12" s="17">
        <v>1000</v>
      </c>
      <c r="I12" s="17">
        <v>2000</v>
      </c>
      <c r="J12" s="17">
        <v>2000000</v>
      </c>
    </row>
    <row r="13" spans="1:11">
      <c r="B13">
        <v>5449</v>
      </c>
      <c r="C13" t="s">
        <v>93</v>
      </c>
      <c r="D13" t="s">
        <v>23</v>
      </c>
      <c r="E13" t="s">
        <v>94</v>
      </c>
      <c r="F13" t="s">
        <v>311</v>
      </c>
      <c r="G13" t="s">
        <v>87</v>
      </c>
      <c r="H13" s="17">
        <v>1000</v>
      </c>
      <c r="I13" s="17">
        <v>2000</v>
      </c>
      <c r="J13" s="17">
        <v>2000000</v>
      </c>
    </row>
    <row r="14" spans="1:11">
      <c r="B14">
        <v>5450</v>
      </c>
      <c r="C14" t="s">
        <v>95</v>
      </c>
      <c r="D14" t="s">
        <v>23</v>
      </c>
      <c r="E14" t="s">
        <v>94</v>
      </c>
      <c r="F14" t="s">
        <v>311</v>
      </c>
      <c r="G14" t="s">
        <v>87</v>
      </c>
      <c r="H14" s="17">
        <v>1000</v>
      </c>
      <c r="I14" s="17">
        <v>2000</v>
      </c>
      <c r="J14" s="17">
        <v>2000000</v>
      </c>
    </row>
    <row r="15" spans="1:11">
      <c r="B15">
        <v>5451</v>
      </c>
      <c r="C15" t="s">
        <v>96</v>
      </c>
      <c r="D15" t="s">
        <v>23</v>
      </c>
      <c r="E15" t="s">
        <v>94</v>
      </c>
      <c r="F15" t="s">
        <v>311</v>
      </c>
      <c r="G15" t="s">
        <v>87</v>
      </c>
      <c r="H15" s="17">
        <v>1000</v>
      </c>
      <c r="I15" s="17">
        <v>2000</v>
      </c>
      <c r="J15" s="17">
        <v>2000000</v>
      </c>
    </row>
    <row r="16" spans="1:11">
      <c r="B16">
        <v>5452</v>
      </c>
      <c r="C16" t="s">
        <v>97</v>
      </c>
      <c r="D16" t="s">
        <v>23</v>
      </c>
      <c r="E16" t="s">
        <v>94</v>
      </c>
      <c r="F16" t="s">
        <v>311</v>
      </c>
      <c r="G16" t="s">
        <v>87</v>
      </c>
      <c r="H16" s="17">
        <v>1000</v>
      </c>
      <c r="I16" s="17">
        <v>2000</v>
      </c>
      <c r="J16" s="17">
        <v>2000000</v>
      </c>
    </row>
    <row r="17" spans="2:10">
      <c r="B17">
        <v>5453</v>
      </c>
      <c r="C17" t="s">
        <v>98</v>
      </c>
      <c r="D17" t="s">
        <v>23</v>
      </c>
      <c r="E17" t="s">
        <v>94</v>
      </c>
      <c r="F17" t="s">
        <v>311</v>
      </c>
      <c r="G17" t="s">
        <v>87</v>
      </c>
      <c r="H17" s="17">
        <v>1000</v>
      </c>
      <c r="I17" s="17">
        <v>2000</v>
      </c>
      <c r="J17" s="17">
        <v>2000000</v>
      </c>
    </row>
    <row r="18" spans="2:10">
      <c r="B18">
        <v>5454</v>
      </c>
      <c r="C18" t="s">
        <v>99</v>
      </c>
      <c r="D18" t="s">
        <v>23</v>
      </c>
      <c r="E18" t="s">
        <v>94</v>
      </c>
      <c r="F18" t="s">
        <v>311</v>
      </c>
      <c r="G18" t="s">
        <v>87</v>
      </c>
      <c r="H18" s="17">
        <v>1000</v>
      </c>
      <c r="I18" s="17">
        <v>2000</v>
      </c>
      <c r="J18" s="17">
        <v>2000000</v>
      </c>
    </row>
    <row r="19" spans="2:10">
      <c r="B19">
        <v>5455</v>
      </c>
      <c r="C19" t="s">
        <v>100</v>
      </c>
      <c r="D19" t="s">
        <v>23</v>
      </c>
      <c r="E19" t="s">
        <v>94</v>
      </c>
      <c r="F19" t="s">
        <v>311</v>
      </c>
      <c r="G19" t="s">
        <v>87</v>
      </c>
      <c r="H19" s="17">
        <v>1000</v>
      </c>
      <c r="I19" s="17">
        <v>2000</v>
      </c>
      <c r="J19" s="17">
        <v>2000000</v>
      </c>
    </row>
    <row r="20" spans="2:10">
      <c r="B20">
        <v>5456</v>
      </c>
      <c r="C20" t="s">
        <v>101</v>
      </c>
      <c r="D20" t="s">
        <v>23</v>
      </c>
      <c r="E20" t="s">
        <v>94</v>
      </c>
      <c r="F20" t="s">
        <v>311</v>
      </c>
      <c r="G20" t="s">
        <v>87</v>
      </c>
      <c r="H20" s="17">
        <v>1000</v>
      </c>
      <c r="I20" s="17">
        <v>2000</v>
      </c>
      <c r="J20" s="17">
        <v>2000000</v>
      </c>
    </row>
    <row r="21" spans="2:10">
      <c r="B21">
        <v>5457</v>
      </c>
      <c r="C21" t="s">
        <v>102</v>
      </c>
      <c r="D21" t="s">
        <v>23</v>
      </c>
      <c r="E21" t="s">
        <v>94</v>
      </c>
      <c r="F21" t="s">
        <v>311</v>
      </c>
      <c r="G21" t="s">
        <v>87</v>
      </c>
      <c r="H21" s="17">
        <v>1000</v>
      </c>
      <c r="I21" s="17">
        <v>2000</v>
      </c>
      <c r="J21" s="17">
        <v>2000000</v>
      </c>
    </row>
    <row r="22" spans="2:10">
      <c r="B22">
        <v>5458</v>
      </c>
      <c r="C22" t="s">
        <v>103</v>
      </c>
      <c r="D22" t="s">
        <v>24</v>
      </c>
      <c r="E22" t="s">
        <v>94</v>
      </c>
      <c r="F22" t="s">
        <v>311</v>
      </c>
      <c r="G22" t="s">
        <v>87</v>
      </c>
      <c r="H22" s="17">
        <v>1000</v>
      </c>
      <c r="I22" s="17">
        <v>2000</v>
      </c>
      <c r="J22" s="17">
        <v>2000000</v>
      </c>
    </row>
    <row r="23" spans="2:10">
      <c r="B23">
        <v>5459</v>
      </c>
      <c r="C23" t="s">
        <v>104</v>
      </c>
      <c r="D23" t="s">
        <v>24</v>
      </c>
      <c r="E23" t="s">
        <v>94</v>
      </c>
      <c r="F23" t="s">
        <v>311</v>
      </c>
      <c r="G23" t="s">
        <v>87</v>
      </c>
      <c r="H23" s="17">
        <v>1000</v>
      </c>
      <c r="I23" s="17">
        <v>2000</v>
      </c>
      <c r="J23" s="17">
        <v>2000000</v>
      </c>
    </row>
    <row r="24" spans="2:10">
      <c r="B24">
        <v>5460</v>
      </c>
      <c r="C24" t="s">
        <v>105</v>
      </c>
      <c r="D24" t="s">
        <v>24</v>
      </c>
      <c r="E24" t="s">
        <v>94</v>
      </c>
      <c r="F24" t="s">
        <v>311</v>
      </c>
      <c r="G24" t="s">
        <v>87</v>
      </c>
      <c r="H24" s="17">
        <v>1000</v>
      </c>
      <c r="I24" s="17">
        <v>2000</v>
      </c>
      <c r="J24" s="17">
        <v>2000000</v>
      </c>
    </row>
    <row r="25" spans="2:10">
      <c r="B25">
        <v>5461</v>
      </c>
      <c r="C25" t="s">
        <v>106</v>
      </c>
      <c r="D25" t="s">
        <v>24</v>
      </c>
      <c r="E25" t="s">
        <v>94</v>
      </c>
      <c r="F25" t="s">
        <v>311</v>
      </c>
      <c r="G25" t="s">
        <v>87</v>
      </c>
      <c r="H25" s="17">
        <v>1000</v>
      </c>
      <c r="I25" s="17">
        <v>2000</v>
      </c>
      <c r="J25" s="17">
        <v>2000000</v>
      </c>
    </row>
    <row r="26" spans="2:10">
      <c r="B26">
        <v>5462</v>
      </c>
      <c r="C26" t="s">
        <v>107</v>
      </c>
      <c r="D26" t="s">
        <v>24</v>
      </c>
      <c r="E26" t="s">
        <v>94</v>
      </c>
      <c r="F26" t="s">
        <v>311</v>
      </c>
      <c r="G26" t="s">
        <v>87</v>
      </c>
      <c r="H26" s="17">
        <v>1000</v>
      </c>
      <c r="I26" s="17">
        <v>2000</v>
      </c>
      <c r="J26" s="17">
        <v>2000000</v>
      </c>
    </row>
    <row r="27" spans="2:10">
      <c r="B27">
        <v>5463</v>
      </c>
      <c r="C27" t="s">
        <v>108</v>
      </c>
      <c r="D27" t="s">
        <v>24</v>
      </c>
      <c r="E27" t="s">
        <v>94</v>
      </c>
      <c r="F27" t="s">
        <v>311</v>
      </c>
      <c r="G27" t="s">
        <v>87</v>
      </c>
      <c r="H27" s="17">
        <v>1000</v>
      </c>
      <c r="I27" s="17">
        <v>2000</v>
      </c>
      <c r="J27" s="17">
        <v>2000000</v>
      </c>
    </row>
    <row r="28" spans="2:10">
      <c r="B28">
        <v>5464</v>
      </c>
      <c r="C28" t="s">
        <v>109</v>
      </c>
      <c r="D28" t="s">
        <v>24</v>
      </c>
      <c r="E28" t="s">
        <v>94</v>
      </c>
      <c r="F28" t="s">
        <v>311</v>
      </c>
      <c r="G28" t="s">
        <v>87</v>
      </c>
      <c r="H28" s="17">
        <v>1000</v>
      </c>
      <c r="I28" s="17">
        <v>2000</v>
      </c>
      <c r="J28" s="17">
        <v>2000000</v>
      </c>
    </row>
    <row r="29" spans="2:10">
      <c r="B29">
        <v>5465</v>
      </c>
      <c r="C29" t="s">
        <v>110</v>
      </c>
      <c r="D29" t="s">
        <v>24</v>
      </c>
      <c r="E29" t="s">
        <v>94</v>
      </c>
      <c r="F29" t="s">
        <v>311</v>
      </c>
      <c r="G29" t="s">
        <v>87</v>
      </c>
      <c r="H29" s="17">
        <v>1000</v>
      </c>
      <c r="I29" s="17">
        <v>2000</v>
      </c>
      <c r="J29" s="17">
        <v>2000000</v>
      </c>
    </row>
    <row r="30" spans="2:10">
      <c r="B30">
        <v>5466</v>
      </c>
      <c r="C30" t="s">
        <v>111</v>
      </c>
      <c r="D30" t="s">
        <v>24</v>
      </c>
      <c r="E30" t="s">
        <v>94</v>
      </c>
      <c r="F30" t="s">
        <v>311</v>
      </c>
      <c r="G30" t="s">
        <v>87</v>
      </c>
      <c r="H30" s="17">
        <v>1000</v>
      </c>
      <c r="I30" s="17">
        <v>2000</v>
      </c>
      <c r="J30" s="17">
        <v>2000000</v>
      </c>
    </row>
    <row r="31" spans="2:10">
      <c r="B31">
        <v>5467</v>
      </c>
      <c r="C31" t="s">
        <v>112</v>
      </c>
      <c r="D31" t="s">
        <v>24</v>
      </c>
      <c r="E31" t="s">
        <v>94</v>
      </c>
      <c r="F31" t="s">
        <v>311</v>
      </c>
      <c r="G31" t="s">
        <v>87</v>
      </c>
      <c r="H31" s="17">
        <v>1000</v>
      </c>
      <c r="I31" s="17">
        <v>2000</v>
      </c>
      <c r="J31" s="17">
        <v>2000000</v>
      </c>
    </row>
    <row r="32" spans="2:10">
      <c r="B32">
        <v>5468</v>
      </c>
      <c r="C32" t="s">
        <v>113</v>
      </c>
      <c r="D32" t="s">
        <v>25</v>
      </c>
      <c r="E32" t="s">
        <v>94</v>
      </c>
      <c r="F32" t="s">
        <v>311</v>
      </c>
      <c r="G32" t="s">
        <v>87</v>
      </c>
      <c r="H32" s="17">
        <v>1000</v>
      </c>
      <c r="I32" s="17">
        <v>2000</v>
      </c>
      <c r="J32" s="17">
        <v>2000000</v>
      </c>
    </row>
    <row r="33" spans="2:10">
      <c r="B33">
        <v>5469</v>
      </c>
      <c r="C33" t="s">
        <v>114</v>
      </c>
      <c r="D33" t="s">
        <v>25</v>
      </c>
      <c r="E33" t="s">
        <v>94</v>
      </c>
      <c r="F33" t="s">
        <v>311</v>
      </c>
      <c r="G33" t="s">
        <v>87</v>
      </c>
      <c r="H33" s="17">
        <v>1000</v>
      </c>
      <c r="I33" s="17">
        <v>2000</v>
      </c>
      <c r="J33" s="17">
        <v>2000000</v>
      </c>
    </row>
    <row r="34" spans="2:10">
      <c r="B34">
        <v>5470</v>
      </c>
      <c r="C34" t="s">
        <v>115</v>
      </c>
      <c r="D34" t="s">
        <v>25</v>
      </c>
      <c r="E34" t="s">
        <v>94</v>
      </c>
      <c r="F34" t="s">
        <v>311</v>
      </c>
      <c r="G34" t="s">
        <v>87</v>
      </c>
      <c r="H34" s="17">
        <v>1000</v>
      </c>
      <c r="I34" s="17">
        <v>2000</v>
      </c>
      <c r="J34" s="17">
        <v>2000000</v>
      </c>
    </row>
    <row r="35" spans="2:10">
      <c r="B35">
        <v>5471</v>
      </c>
      <c r="C35" t="s">
        <v>116</v>
      </c>
      <c r="D35" t="s">
        <v>25</v>
      </c>
      <c r="E35" t="s">
        <v>94</v>
      </c>
      <c r="F35" t="s">
        <v>311</v>
      </c>
      <c r="G35" t="s">
        <v>87</v>
      </c>
      <c r="H35" s="17">
        <v>1000</v>
      </c>
      <c r="I35" s="17">
        <v>2000</v>
      </c>
      <c r="J35" s="17">
        <v>2000000</v>
      </c>
    </row>
    <row r="36" spans="2:10">
      <c r="B36">
        <v>5472</v>
      </c>
      <c r="C36" t="s">
        <v>117</v>
      </c>
      <c r="D36" t="s">
        <v>25</v>
      </c>
      <c r="E36" t="s">
        <v>94</v>
      </c>
      <c r="F36" t="s">
        <v>311</v>
      </c>
      <c r="G36" t="s">
        <v>87</v>
      </c>
      <c r="H36" s="17">
        <v>1000</v>
      </c>
      <c r="I36" s="17">
        <v>2000</v>
      </c>
      <c r="J36" s="17">
        <v>2000000</v>
      </c>
    </row>
    <row r="37" spans="2:10">
      <c r="B37">
        <v>5473</v>
      </c>
      <c r="C37" t="s">
        <v>118</v>
      </c>
      <c r="D37" t="s">
        <v>25</v>
      </c>
      <c r="E37" t="s">
        <v>94</v>
      </c>
      <c r="F37" t="s">
        <v>311</v>
      </c>
      <c r="G37" t="s">
        <v>87</v>
      </c>
      <c r="H37" s="17">
        <v>1000</v>
      </c>
      <c r="I37" s="17">
        <v>2000</v>
      </c>
      <c r="J37" s="17">
        <v>2000000</v>
      </c>
    </row>
    <row r="38" spans="2:10">
      <c r="B38">
        <v>5474</v>
      </c>
      <c r="C38" t="s">
        <v>119</v>
      </c>
      <c r="D38" t="s">
        <v>25</v>
      </c>
      <c r="E38" t="s">
        <v>94</v>
      </c>
      <c r="F38" t="s">
        <v>311</v>
      </c>
      <c r="G38" t="s">
        <v>87</v>
      </c>
      <c r="H38" s="17">
        <v>1000</v>
      </c>
      <c r="I38" s="17">
        <v>2000</v>
      </c>
      <c r="J38" s="17">
        <v>2000000</v>
      </c>
    </row>
    <row r="39" spans="2:10">
      <c r="B39">
        <v>5475</v>
      </c>
      <c r="C39" t="s">
        <v>120</v>
      </c>
      <c r="D39" t="s">
        <v>25</v>
      </c>
      <c r="E39" t="s">
        <v>94</v>
      </c>
      <c r="F39" t="s">
        <v>311</v>
      </c>
      <c r="G39" t="s">
        <v>87</v>
      </c>
      <c r="H39" s="17">
        <v>1000</v>
      </c>
      <c r="I39" s="17">
        <v>2000</v>
      </c>
      <c r="J39" s="17">
        <v>2000000</v>
      </c>
    </row>
    <row r="40" spans="2:10">
      <c r="B40">
        <v>5476</v>
      </c>
      <c r="C40" t="s">
        <v>121</v>
      </c>
      <c r="D40" t="s">
        <v>25</v>
      </c>
      <c r="E40" t="s">
        <v>94</v>
      </c>
      <c r="F40" t="s">
        <v>311</v>
      </c>
      <c r="G40" t="s">
        <v>87</v>
      </c>
      <c r="H40" s="17">
        <v>1000</v>
      </c>
      <c r="I40" s="17">
        <v>2000</v>
      </c>
      <c r="J40" s="17">
        <v>2000000</v>
      </c>
    </row>
    <row r="41" spans="2:10">
      <c r="B41">
        <v>5477</v>
      </c>
      <c r="C41" t="s">
        <v>122</v>
      </c>
      <c r="D41" t="s">
        <v>25</v>
      </c>
      <c r="E41" t="s">
        <v>94</v>
      </c>
      <c r="F41" t="s">
        <v>311</v>
      </c>
      <c r="G41" t="s">
        <v>87</v>
      </c>
      <c r="H41" s="17">
        <v>1000</v>
      </c>
      <c r="I41" s="17">
        <v>2000</v>
      </c>
      <c r="J41" s="17">
        <v>2000000</v>
      </c>
    </row>
    <row r="42" spans="2:10">
      <c r="B42">
        <v>5478</v>
      </c>
      <c r="C42" t="s">
        <v>123</v>
      </c>
      <c r="D42" t="s">
        <v>26</v>
      </c>
      <c r="E42" t="s">
        <v>94</v>
      </c>
      <c r="F42" t="s">
        <v>311</v>
      </c>
      <c r="G42" t="s">
        <v>87</v>
      </c>
      <c r="H42" s="17">
        <v>1000</v>
      </c>
      <c r="I42" s="17">
        <v>2000</v>
      </c>
      <c r="J42" s="17">
        <v>2000000</v>
      </c>
    </row>
    <row r="43" spans="2:10">
      <c r="B43">
        <v>5479</v>
      </c>
      <c r="C43" t="s">
        <v>124</v>
      </c>
      <c r="D43" t="s">
        <v>26</v>
      </c>
      <c r="E43" t="s">
        <v>94</v>
      </c>
      <c r="F43" t="s">
        <v>311</v>
      </c>
      <c r="G43" t="s">
        <v>87</v>
      </c>
      <c r="H43" s="17">
        <v>1000</v>
      </c>
      <c r="I43" s="17">
        <v>2000</v>
      </c>
      <c r="J43" s="17">
        <v>2000000</v>
      </c>
    </row>
    <row r="44" spans="2:10">
      <c r="B44">
        <v>5480</v>
      </c>
      <c r="C44" t="s">
        <v>125</v>
      </c>
      <c r="D44" t="s">
        <v>26</v>
      </c>
      <c r="E44" t="s">
        <v>94</v>
      </c>
      <c r="F44" t="s">
        <v>311</v>
      </c>
      <c r="G44" t="s">
        <v>87</v>
      </c>
      <c r="H44" s="17">
        <v>1000</v>
      </c>
      <c r="I44" s="17">
        <v>2000</v>
      </c>
      <c r="J44" s="17">
        <v>2000000</v>
      </c>
    </row>
    <row r="45" spans="2:10">
      <c r="B45">
        <v>5481</v>
      </c>
      <c r="C45" t="s">
        <v>126</v>
      </c>
      <c r="D45" t="s">
        <v>26</v>
      </c>
      <c r="E45" t="s">
        <v>94</v>
      </c>
      <c r="F45" t="s">
        <v>311</v>
      </c>
      <c r="G45" t="s">
        <v>87</v>
      </c>
      <c r="H45" s="17">
        <v>1000</v>
      </c>
      <c r="I45" s="17">
        <v>2000</v>
      </c>
      <c r="J45" s="17">
        <v>2000000</v>
      </c>
    </row>
    <row r="46" spans="2:10">
      <c r="B46">
        <v>5482</v>
      </c>
      <c r="C46" t="s">
        <v>127</v>
      </c>
      <c r="D46" t="s">
        <v>26</v>
      </c>
      <c r="E46" t="s">
        <v>94</v>
      </c>
      <c r="F46" t="s">
        <v>311</v>
      </c>
      <c r="G46" t="s">
        <v>87</v>
      </c>
      <c r="H46" s="17">
        <v>1000</v>
      </c>
      <c r="I46" s="17">
        <v>2000</v>
      </c>
      <c r="J46" s="17">
        <v>2000000</v>
      </c>
    </row>
    <row r="47" spans="2:10">
      <c r="B47">
        <v>5483</v>
      </c>
      <c r="C47" t="s">
        <v>128</v>
      </c>
      <c r="D47" t="s">
        <v>26</v>
      </c>
      <c r="E47" t="s">
        <v>94</v>
      </c>
      <c r="F47" t="s">
        <v>311</v>
      </c>
      <c r="G47" t="s">
        <v>87</v>
      </c>
      <c r="H47" s="17">
        <v>1000</v>
      </c>
      <c r="I47" s="17">
        <v>2000</v>
      </c>
      <c r="J47" s="17">
        <v>2000000</v>
      </c>
    </row>
    <row r="48" spans="2:10">
      <c r="B48">
        <v>5484</v>
      </c>
      <c r="C48" t="s">
        <v>129</v>
      </c>
      <c r="D48" t="s">
        <v>26</v>
      </c>
      <c r="E48" t="s">
        <v>94</v>
      </c>
      <c r="F48" t="s">
        <v>311</v>
      </c>
      <c r="G48" t="s">
        <v>87</v>
      </c>
      <c r="H48" s="17">
        <v>1000</v>
      </c>
      <c r="I48" s="17">
        <v>2000</v>
      </c>
      <c r="J48" s="17">
        <v>2000000</v>
      </c>
    </row>
    <row r="49" spans="2:10">
      <c r="B49">
        <v>5485</v>
      </c>
      <c r="C49" t="s">
        <v>130</v>
      </c>
      <c r="D49" t="s">
        <v>26</v>
      </c>
      <c r="E49" t="s">
        <v>94</v>
      </c>
      <c r="F49" t="s">
        <v>311</v>
      </c>
      <c r="G49" t="s">
        <v>87</v>
      </c>
      <c r="H49" s="17">
        <v>1000</v>
      </c>
      <c r="I49" s="17">
        <v>2000</v>
      </c>
      <c r="J49" s="17">
        <v>2000000</v>
      </c>
    </row>
    <row r="50" spans="2:10">
      <c r="B50">
        <v>5486</v>
      </c>
      <c r="C50" t="s">
        <v>131</v>
      </c>
      <c r="D50" t="s">
        <v>26</v>
      </c>
      <c r="E50" t="s">
        <v>94</v>
      </c>
      <c r="F50" t="s">
        <v>311</v>
      </c>
      <c r="G50" t="s">
        <v>87</v>
      </c>
      <c r="H50" s="17">
        <v>1000</v>
      </c>
      <c r="I50" s="17">
        <v>2000</v>
      </c>
      <c r="J50" s="17">
        <v>2000000</v>
      </c>
    </row>
    <row r="51" spans="2:10">
      <c r="B51">
        <v>5487</v>
      </c>
      <c r="C51" t="s">
        <v>132</v>
      </c>
      <c r="D51" t="s">
        <v>26</v>
      </c>
      <c r="E51" t="s">
        <v>94</v>
      </c>
      <c r="F51" t="s">
        <v>311</v>
      </c>
      <c r="G51" t="s">
        <v>87</v>
      </c>
      <c r="H51" s="17">
        <v>1000</v>
      </c>
      <c r="I51" s="17">
        <v>2000</v>
      </c>
      <c r="J51" s="17">
        <v>2000000</v>
      </c>
    </row>
    <row r="52" spans="2:10">
      <c r="B52">
        <v>5488</v>
      </c>
      <c r="C52" t="s">
        <v>133</v>
      </c>
      <c r="D52" t="s">
        <v>21</v>
      </c>
      <c r="E52" t="s">
        <v>134</v>
      </c>
      <c r="F52" t="s">
        <v>311</v>
      </c>
      <c r="G52" t="s">
        <v>87</v>
      </c>
      <c r="H52" s="17">
        <v>1000</v>
      </c>
      <c r="I52" s="17">
        <v>2000</v>
      </c>
      <c r="J52" s="17">
        <v>2000000</v>
      </c>
    </row>
    <row r="53" spans="2:10">
      <c r="B53">
        <v>5489</v>
      </c>
      <c r="C53" t="s">
        <v>135</v>
      </c>
      <c r="D53" t="s">
        <v>21</v>
      </c>
      <c r="E53" t="s">
        <v>134</v>
      </c>
      <c r="F53" t="s">
        <v>311</v>
      </c>
      <c r="G53" t="s">
        <v>87</v>
      </c>
      <c r="H53" s="17">
        <v>1000</v>
      </c>
      <c r="I53" s="17">
        <v>2000</v>
      </c>
      <c r="J53" s="17">
        <v>2000000</v>
      </c>
    </row>
    <row r="54" spans="2:10">
      <c r="B54">
        <v>5490</v>
      </c>
      <c r="C54" t="s">
        <v>136</v>
      </c>
      <c r="D54" t="s">
        <v>21</v>
      </c>
      <c r="E54" t="s">
        <v>134</v>
      </c>
      <c r="F54" t="s">
        <v>311</v>
      </c>
      <c r="G54" t="s">
        <v>87</v>
      </c>
      <c r="H54" s="17">
        <v>1000</v>
      </c>
      <c r="I54" s="17">
        <v>2000</v>
      </c>
      <c r="J54" s="17">
        <v>2000000</v>
      </c>
    </row>
    <row r="55" spans="2:10">
      <c r="B55">
        <v>5491</v>
      </c>
      <c r="C55" t="s">
        <v>137</v>
      </c>
      <c r="D55" t="s">
        <v>21</v>
      </c>
      <c r="E55" t="s">
        <v>134</v>
      </c>
      <c r="F55" t="s">
        <v>311</v>
      </c>
      <c r="G55" t="s">
        <v>87</v>
      </c>
      <c r="H55" s="17">
        <v>1000</v>
      </c>
      <c r="I55" s="17">
        <v>2000</v>
      </c>
      <c r="J55" s="17">
        <v>2000000</v>
      </c>
    </row>
    <row r="56" spans="2:10">
      <c r="B56">
        <v>5492</v>
      </c>
      <c r="C56" t="s">
        <v>138</v>
      </c>
      <c r="D56" t="s">
        <v>21</v>
      </c>
      <c r="E56" t="s">
        <v>134</v>
      </c>
      <c r="F56" t="s">
        <v>311</v>
      </c>
      <c r="G56" t="s">
        <v>87</v>
      </c>
      <c r="H56" s="17">
        <v>1000</v>
      </c>
      <c r="I56" s="17">
        <v>2000</v>
      </c>
      <c r="J56" s="17">
        <v>2000000</v>
      </c>
    </row>
    <row r="57" spans="2:10">
      <c r="B57">
        <v>5493</v>
      </c>
      <c r="C57" t="s">
        <v>139</v>
      </c>
      <c r="D57" t="s">
        <v>21</v>
      </c>
      <c r="E57" t="s">
        <v>134</v>
      </c>
      <c r="F57" t="s">
        <v>311</v>
      </c>
      <c r="G57" t="s">
        <v>87</v>
      </c>
      <c r="H57" s="17">
        <v>1000</v>
      </c>
      <c r="I57" s="17">
        <v>2000</v>
      </c>
      <c r="J57" s="17">
        <v>2000000</v>
      </c>
    </row>
    <row r="58" spans="2:10">
      <c r="B58">
        <v>5494</v>
      </c>
      <c r="C58" t="s">
        <v>140</v>
      </c>
      <c r="D58" t="s">
        <v>21</v>
      </c>
      <c r="E58" t="s">
        <v>134</v>
      </c>
      <c r="F58" t="s">
        <v>311</v>
      </c>
      <c r="G58" t="s">
        <v>87</v>
      </c>
      <c r="H58" s="17">
        <v>1000</v>
      </c>
      <c r="I58" s="17">
        <v>2000</v>
      </c>
      <c r="J58" s="17">
        <v>2000000</v>
      </c>
    </row>
    <row r="59" spans="2:10">
      <c r="B59">
        <v>5495</v>
      </c>
      <c r="C59" t="s">
        <v>141</v>
      </c>
      <c r="D59" t="s">
        <v>21</v>
      </c>
      <c r="E59" t="s">
        <v>134</v>
      </c>
      <c r="F59" t="s">
        <v>311</v>
      </c>
      <c r="G59" t="s">
        <v>87</v>
      </c>
      <c r="H59" s="17">
        <v>1000</v>
      </c>
      <c r="I59" s="17">
        <v>2000</v>
      </c>
      <c r="J59" s="17">
        <v>2000000</v>
      </c>
    </row>
    <row r="60" spans="2:10">
      <c r="B60">
        <v>5496</v>
      </c>
      <c r="C60" t="s">
        <v>142</v>
      </c>
      <c r="D60" t="s">
        <v>21</v>
      </c>
      <c r="E60" t="s">
        <v>134</v>
      </c>
      <c r="F60" t="s">
        <v>311</v>
      </c>
      <c r="G60" t="s">
        <v>87</v>
      </c>
      <c r="H60" s="17">
        <v>1000</v>
      </c>
      <c r="I60" s="17">
        <v>2000</v>
      </c>
      <c r="J60" s="17">
        <v>2000000</v>
      </c>
    </row>
    <row r="61" spans="2:10">
      <c r="B61">
        <v>5497</v>
      </c>
      <c r="C61" t="s">
        <v>143</v>
      </c>
      <c r="D61" t="s">
        <v>21</v>
      </c>
      <c r="E61" t="s">
        <v>134</v>
      </c>
      <c r="F61" t="s">
        <v>311</v>
      </c>
      <c r="G61" t="s">
        <v>87</v>
      </c>
      <c r="H61" s="17">
        <v>1000</v>
      </c>
      <c r="I61" s="17">
        <v>2000</v>
      </c>
      <c r="J61" s="17">
        <v>2000000</v>
      </c>
    </row>
    <row r="62" spans="2:10">
      <c r="B62">
        <v>5498</v>
      </c>
      <c r="C62" t="s">
        <v>144</v>
      </c>
      <c r="D62" t="s">
        <v>22</v>
      </c>
      <c r="E62" t="s">
        <v>134</v>
      </c>
      <c r="F62" t="s">
        <v>311</v>
      </c>
      <c r="G62" t="s">
        <v>87</v>
      </c>
      <c r="H62" s="17">
        <v>1000</v>
      </c>
      <c r="I62" s="17">
        <v>2000</v>
      </c>
      <c r="J62" s="17">
        <v>2000000</v>
      </c>
    </row>
    <row r="63" spans="2:10">
      <c r="B63">
        <v>5499</v>
      </c>
      <c r="C63" t="s">
        <v>145</v>
      </c>
      <c r="D63" t="s">
        <v>22</v>
      </c>
      <c r="E63" t="s">
        <v>134</v>
      </c>
      <c r="F63" t="s">
        <v>311</v>
      </c>
      <c r="G63" t="s">
        <v>87</v>
      </c>
      <c r="H63" s="17">
        <v>1000</v>
      </c>
      <c r="I63" s="17">
        <v>2000</v>
      </c>
      <c r="J63" s="17">
        <v>2000000</v>
      </c>
    </row>
    <row r="64" spans="2:10">
      <c r="B64">
        <v>5500</v>
      </c>
      <c r="C64" t="s">
        <v>146</v>
      </c>
      <c r="D64" t="s">
        <v>22</v>
      </c>
      <c r="E64" t="s">
        <v>134</v>
      </c>
      <c r="F64" t="s">
        <v>311</v>
      </c>
      <c r="G64" t="s">
        <v>87</v>
      </c>
      <c r="H64" s="17">
        <v>1000</v>
      </c>
      <c r="I64" s="17">
        <v>2000</v>
      </c>
      <c r="J64" s="17">
        <v>2000000</v>
      </c>
    </row>
    <row r="65" spans="2:10">
      <c r="B65">
        <v>5501</v>
      </c>
      <c r="C65" t="s">
        <v>147</v>
      </c>
      <c r="D65" t="s">
        <v>22</v>
      </c>
      <c r="E65" t="s">
        <v>134</v>
      </c>
      <c r="F65" t="s">
        <v>311</v>
      </c>
      <c r="G65" t="s">
        <v>87</v>
      </c>
      <c r="H65" s="17">
        <v>1000</v>
      </c>
      <c r="I65" s="17">
        <v>2000</v>
      </c>
      <c r="J65" s="17">
        <v>2000000</v>
      </c>
    </row>
    <row r="66" spans="2:10">
      <c r="B66">
        <v>5502</v>
      </c>
      <c r="C66" t="s">
        <v>148</v>
      </c>
      <c r="D66" t="s">
        <v>22</v>
      </c>
      <c r="E66" t="s">
        <v>134</v>
      </c>
      <c r="F66" t="s">
        <v>311</v>
      </c>
      <c r="G66" t="s">
        <v>87</v>
      </c>
      <c r="H66" s="17">
        <v>1000</v>
      </c>
      <c r="I66" s="17">
        <v>2000</v>
      </c>
      <c r="J66" s="17">
        <v>2000000</v>
      </c>
    </row>
    <row r="67" spans="2:10">
      <c r="B67">
        <v>5503</v>
      </c>
      <c r="C67" t="s">
        <v>149</v>
      </c>
      <c r="D67" t="s">
        <v>22</v>
      </c>
      <c r="E67" t="s">
        <v>134</v>
      </c>
      <c r="F67" t="s">
        <v>311</v>
      </c>
      <c r="G67" t="s">
        <v>87</v>
      </c>
      <c r="H67" s="17">
        <v>1000</v>
      </c>
      <c r="I67" s="17">
        <v>2000</v>
      </c>
      <c r="J67" s="17">
        <v>2000000</v>
      </c>
    </row>
    <row r="68" spans="2:10">
      <c r="B68">
        <v>5504</v>
      </c>
      <c r="C68" t="s">
        <v>150</v>
      </c>
      <c r="D68" t="s">
        <v>22</v>
      </c>
      <c r="E68" t="s">
        <v>134</v>
      </c>
      <c r="F68" t="s">
        <v>311</v>
      </c>
      <c r="G68" t="s">
        <v>87</v>
      </c>
      <c r="H68" s="17">
        <v>1000</v>
      </c>
      <c r="I68" s="17">
        <v>2000</v>
      </c>
      <c r="J68" s="17">
        <v>2000000</v>
      </c>
    </row>
    <row r="69" spans="2:10">
      <c r="B69">
        <v>5505</v>
      </c>
      <c r="C69" t="s">
        <v>151</v>
      </c>
      <c r="D69" t="s">
        <v>22</v>
      </c>
      <c r="E69" t="s">
        <v>134</v>
      </c>
      <c r="F69" t="s">
        <v>311</v>
      </c>
      <c r="G69" t="s">
        <v>87</v>
      </c>
      <c r="H69" s="17">
        <v>1000</v>
      </c>
      <c r="I69" s="17">
        <v>2000</v>
      </c>
      <c r="J69" s="17">
        <v>2000000</v>
      </c>
    </row>
    <row r="70" spans="2:10">
      <c r="B70">
        <v>5506</v>
      </c>
      <c r="C70" t="s">
        <v>152</v>
      </c>
      <c r="D70" t="s">
        <v>22</v>
      </c>
      <c r="E70" t="s">
        <v>134</v>
      </c>
      <c r="F70" t="s">
        <v>311</v>
      </c>
      <c r="G70" t="s">
        <v>87</v>
      </c>
      <c r="H70" s="17">
        <v>1000</v>
      </c>
      <c r="I70" s="17">
        <v>2000</v>
      </c>
      <c r="J70" s="17">
        <v>2000000</v>
      </c>
    </row>
    <row r="71" spans="2:10">
      <c r="B71">
        <v>5507</v>
      </c>
      <c r="C71" t="s">
        <v>153</v>
      </c>
      <c r="D71" t="s">
        <v>22</v>
      </c>
      <c r="E71" t="s">
        <v>134</v>
      </c>
      <c r="F71" t="s">
        <v>311</v>
      </c>
      <c r="G71" t="s">
        <v>87</v>
      </c>
      <c r="H71" s="17">
        <v>1000</v>
      </c>
      <c r="I71" s="17">
        <v>2000</v>
      </c>
      <c r="J71" s="17">
        <v>2000000</v>
      </c>
    </row>
    <row r="72" spans="2:10">
      <c r="B72">
        <v>5508</v>
      </c>
      <c r="C72" t="s">
        <v>154</v>
      </c>
      <c r="D72" t="s">
        <v>23</v>
      </c>
      <c r="E72" t="s">
        <v>134</v>
      </c>
      <c r="F72" t="s">
        <v>311</v>
      </c>
      <c r="G72" t="s">
        <v>87</v>
      </c>
      <c r="H72" s="17">
        <v>1000</v>
      </c>
      <c r="I72" s="17">
        <v>2000</v>
      </c>
      <c r="J72" s="17">
        <v>2000000</v>
      </c>
    </row>
    <row r="73" spans="2:10">
      <c r="B73">
        <v>5509</v>
      </c>
      <c r="C73" t="s">
        <v>155</v>
      </c>
      <c r="D73" t="s">
        <v>23</v>
      </c>
      <c r="E73" t="s">
        <v>134</v>
      </c>
      <c r="F73" t="s">
        <v>311</v>
      </c>
      <c r="G73" t="s">
        <v>87</v>
      </c>
      <c r="H73" s="17">
        <v>1000</v>
      </c>
      <c r="I73" s="17">
        <v>2000</v>
      </c>
      <c r="J73" s="17">
        <v>2000000</v>
      </c>
    </row>
    <row r="74" spans="2:10">
      <c r="B74">
        <v>5510</v>
      </c>
      <c r="C74" t="s">
        <v>156</v>
      </c>
      <c r="D74" t="s">
        <v>23</v>
      </c>
      <c r="E74" t="s">
        <v>134</v>
      </c>
      <c r="F74" t="s">
        <v>311</v>
      </c>
      <c r="G74" t="s">
        <v>87</v>
      </c>
      <c r="H74" s="17">
        <v>1000</v>
      </c>
      <c r="I74" s="17">
        <v>2000</v>
      </c>
      <c r="J74" s="17">
        <v>2000000</v>
      </c>
    </row>
    <row r="75" spans="2:10">
      <c r="B75">
        <v>5511</v>
      </c>
      <c r="C75" t="s">
        <v>157</v>
      </c>
      <c r="D75" t="s">
        <v>23</v>
      </c>
      <c r="E75" t="s">
        <v>134</v>
      </c>
      <c r="F75" t="s">
        <v>311</v>
      </c>
      <c r="G75" t="s">
        <v>87</v>
      </c>
      <c r="H75" s="17">
        <v>1000</v>
      </c>
      <c r="I75" s="17">
        <v>2000</v>
      </c>
      <c r="J75" s="17">
        <v>2000000</v>
      </c>
    </row>
    <row r="76" spans="2:10">
      <c r="B76">
        <v>5512</v>
      </c>
      <c r="C76" t="s">
        <v>158</v>
      </c>
      <c r="D76" t="s">
        <v>23</v>
      </c>
      <c r="E76" t="s">
        <v>134</v>
      </c>
      <c r="F76" t="s">
        <v>311</v>
      </c>
      <c r="G76" t="s">
        <v>87</v>
      </c>
      <c r="H76" s="17">
        <v>1000</v>
      </c>
      <c r="I76" s="17">
        <v>2000</v>
      </c>
      <c r="J76" s="17">
        <v>2000000</v>
      </c>
    </row>
    <row r="77" spans="2:10">
      <c r="B77">
        <v>5513</v>
      </c>
      <c r="C77" t="s">
        <v>159</v>
      </c>
      <c r="D77" t="s">
        <v>23</v>
      </c>
      <c r="E77" t="s">
        <v>134</v>
      </c>
      <c r="F77" t="s">
        <v>311</v>
      </c>
      <c r="G77" t="s">
        <v>87</v>
      </c>
      <c r="H77" s="17">
        <v>1000</v>
      </c>
      <c r="I77" s="17">
        <v>2000</v>
      </c>
      <c r="J77" s="17">
        <v>2000000</v>
      </c>
    </row>
    <row r="78" spans="2:10">
      <c r="B78">
        <v>5514</v>
      </c>
      <c r="C78" t="s">
        <v>160</v>
      </c>
      <c r="D78" t="s">
        <v>23</v>
      </c>
      <c r="E78" t="s">
        <v>134</v>
      </c>
      <c r="F78" t="s">
        <v>311</v>
      </c>
      <c r="G78" t="s">
        <v>87</v>
      </c>
      <c r="H78" s="17">
        <v>1000</v>
      </c>
      <c r="I78" s="17">
        <v>2000</v>
      </c>
      <c r="J78" s="17">
        <v>2000000</v>
      </c>
    </row>
    <row r="79" spans="2:10">
      <c r="B79">
        <v>5515</v>
      </c>
      <c r="C79" t="s">
        <v>161</v>
      </c>
      <c r="D79" t="s">
        <v>23</v>
      </c>
      <c r="E79" t="s">
        <v>134</v>
      </c>
      <c r="F79" t="s">
        <v>311</v>
      </c>
      <c r="G79" t="s">
        <v>87</v>
      </c>
      <c r="H79" s="17">
        <v>1000</v>
      </c>
      <c r="I79" s="17">
        <v>2000</v>
      </c>
      <c r="J79" s="17">
        <v>2000000</v>
      </c>
    </row>
    <row r="80" spans="2:10">
      <c r="B80">
        <v>5516</v>
      </c>
      <c r="C80" t="s">
        <v>162</v>
      </c>
      <c r="D80" t="s">
        <v>23</v>
      </c>
      <c r="E80" t="s">
        <v>134</v>
      </c>
      <c r="F80" t="s">
        <v>311</v>
      </c>
      <c r="G80" t="s">
        <v>87</v>
      </c>
      <c r="H80" s="17">
        <v>1000</v>
      </c>
      <c r="I80" s="17">
        <v>2000</v>
      </c>
      <c r="J80" s="17">
        <v>2000000</v>
      </c>
    </row>
    <row r="81" spans="2:10">
      <c r="B81">
        <v>5517</v>
      </c>
      <c r="C81" t="s">
        <v>163</v>
      </c>
      <c r="D81" t="s">
        <v>23</v>
      </c>
      <c r="E81" t="s">
        <v>134</v>
      </c>
      <c r="F81" t="s">
        <v>311</v>
      </c>
      <c r="G81" t="s">
        <v>87</v>
      </c>
      <c r="H81" s="17">
        <v>1000</v>
      </c>
      <c r="I81" s="17">
        <v>2000</v>
      </c>
      <c r="J81" s="17">
        <v>2000000</v>
      </c>
    </row>
    <row r="82" spans="2:10">
      <c r="B82">
        <v>5518</v>
      </c>
      <c r="C82" t="s">
        <v>164</v>
      </c>
      <c r="D82" t="s">
        <v>24</v>
      </c>
      <c r="E82" t="s">
        <v>134</v>
      </c>
      <c r="F82" t="s">
        <v>311</v>
      </c>
      <c r="G82" t="s">
        <v>87</v>
      </c>
      <c r="H82" s="17">
        <v>1000</v>
      </c>
      <c r="I82" s="17">
        <v>2000</v>
      </c>
      <c r="J82" s="17">
        <v>2000000</v>
      </c>
    </row>
    <row r="83" spans="2:10">
      <c r="B83">
        <v>5519</v>
      </c>
      <c r="C83" t="s">
        <v>165</v>
      </c>
      <c r="D83" t="s">
        <v>24</v>
      </c>
      <c r="E83" t="s">
        <v>134</v>
      </c>
      <c r="F83" t="s">
        <v>311</v>
      </c>
      <c r="G83" t="s">
        <v>87</v>
      </c>
      <c r="H83" s="17">
        <v>1000</v>
      </c>
      <c r="I83" s="17">
        <v>2000</v>
      </c>
      <c r="J83" s="17">
        <v>2000000</v>
      </c>
    </row>
    <row r="84" spans="2:10">
      <c r="B84">
        <v>5520</v>
      </c>
      <c r="C84" t="s">
        <v>166</v>
      </c>
      <c r="D84" t="s">
        <v>24</v>
      </c>
      <c r="E84" t="s">
        <v>134</v>
      </c>
      <c r="F84" t="s">
        <v>311</v>
      </c>
      <c r="G84" t="s">
        <v>87</v>
      </c>
      <c r="H84" s="17">
        <v>1000</v>
      </c>
      <c r="I84" s="17">
        <v>2000</v>
      </c>
      <c r="J84" s="17">
        <v>2000000</v>
      </c>
    </row>
    <row r="85" spans="2:10">
      <c r="B85">
        <v>5521</v>
      </c>
      <c r="C85" t="s">
        <v>167</v>
      </c>
      <c r="D85" t="s">
        <v>24</v>
      </c>
      <c r="E85" t="s">
        <v>134</v>
      </c>
      <c r="F85" t="s">
        <v>311</v>
      </c>
      <c r="G85" t="s">
        <v>87</v>
      </c>
      <c r="H85" s="17">
        <v>1000</v>
      </c>
      <c r="I85" s="17">
        <v>2000</v>
      </c>
      <c r="J85" s="17">
        <v>2000000</v>
      </c>
    </row>
    <row r="86" spans="2:10">
      <c r="B86">
        <v>5522</v>
      </c>
      <c r="C86" t="s">
        <v>168</v>
      </c>
      <c r="D86" t="s">
        <v>24</v>
      </c>
      <c r="E86" t="s">
        <v>134</v>
      </c>
      <c r="F86" t="s">
        <v>311</v>
      </c>
      <c r="G86" t="s">
        <v>87</v>
      </c>
      <c r="H86" s="17">
        <v>1000</v>
      </c>
      <c r="I86" s="17">
        <v>2000</v>
      </c>
      <c r="J86" s="17">
        <v>2000000</v>
      </c>
    </row>
    <row r="87" spans="2:10">
      <c r="B87">
        <v>5523</v>
      </c>
      <c r="C87" t="s">
        <v>169</v>
      </c>
      <c r="D87" t="s">
        <v>24</v>
      </c>
      <c r="E87" t="s">
        <v>134</v>
      </c>
      <c r="F87" t="s">
        <v>311</v>
      </c>
      <c r="G87" t="s">
        <v>87</v>
      </c>
      <c r="H87" s="17">
        <v>1000</v>
      </c>
      <c r="I87" s="17">
        <v>2000</v>
      </c>
      <c r="J87" s="17">
        <v>2000000</v>
      </c>
    </row>
    <row r="88" spans="2:10">
      <c r="B88">
        <v>5524</v>
      </c>
      <c r="C88" t="s">
        <v>170</v>
      </c>
      <c r="D88" t="s">
        <v>24</v>
      </c>
      <c r="E88" t="s">
        <v>134</v>
      </c>
      <c r="F88" t="s">
        <v>311</v>
      </c>
      <c r="G88" t="s">
        <v>87</v>
      </c>
      <c r="H88" s="17">
        <v>1000</v>
      </c>
      <c r="I88" s="17">
        <v>2000</v>
      </c>
      <c r="J88" s="17">
        <v>2000000</v>
      </c>
    </row>
    <row r="89" spans="2:10">
      <c r="B89">
        <v>5525</v>
      </c>
      <c r="C89" t="s">
        <v>171</v>
      </c>
      <c r="D89" t="s">
        <v>24</v>
      </c>
      <c r="E89" t="s">
        <v>134</v>
      </c>
      <c r="F89" t="s">
        <v>311</v>
      </c>
      <c r="G89" t="s">
        <v>87</v>
      </c>
      <c r="H89" s="17">
        <v>1000</v>
      </c>
      <c r="I89" s="17">
        <v>2000</v>
      </c>
      <c r="J89" s="17">
        <v>2000000</v>
      </c>
    </row>
    <row r="90" spans="2:10">
      <c r="B90">
        <v>5526</v>
      </c>
      <c r="C90" t="s">
        <v>172</v>
      </c>
      <c r="D90" t="s">
        <v>24</v>
      </c>
      <c r="E90" t="s">
        <v>134</v>
      </c>
      <c r="F90" t="s">
        <v>311</v>
      </c>
      <c r="G90" t="s">
        <v>87</v>
      </c>
      <c r="H90" s="17">
        <v>1000</v>
      </c>
      <c r="I90" s="17">
        <v>2000</v>
      </c>
      <c r="J90" s="17">
        <v>2000000</v>
      </c>
    </row>
    <row r="91" spans="2:10">
      <c r="B91">
        <v>5527</v>
      </c>
      <c r="C91" t="s">
        <v>173</v>
      </c>
      <c r="D91" t="s">
        <v>24</v>
      </c>
      <c r="E91" t="s">
        <v>134</v>
      </c>
      <c r="F91" t="s">
        <v>311</v>
      </c>
      <c r="G91" t="s">
        <v>87</v>
      </c>
      <c r="H91" s="17">
        <v>1000</v>
      </c>
      <c r="I91" s="17">
        <v>2000</v>
      </c>
      <c r="J91" s="17">
        <v>2000000</v>
      </c>
    </row>
    <row r="92" spans="2:10">
      <c r="B92">
        <v>5528</v>
      </c>
      <c r="C92" t="s">
        <v>174</v>
      </c>
      <c r="D92" t="s">
        <v>25</v>
      </c>
      <c r="E92" t="s">
        <v>134</v>
      </c>
      <c r="F92" t="s">
        <v>311</v>
      </c>
      <c r="G92" t="s">
        <v>87</v>
      </c>
      <c r="H92" s="17">
        <v>1000</v>
      </c>
      <c r="I92" s="17">
        <v>2000</v>
      </c>
      <c r="J92" s="17">
        <v>2000000</v>
      </c>
    </row>
    <row r="93" spans="2:10">
      <c r="B93">
        <v>5529</v>
      </c>
      <c r="C93" t="s">
        <v>175</v>
      </c>
      <c r="D93" t="s">
        <v>25</v>
      </c>
      <c r="E93" t="s">
        <v>134</v>
      </c>
      <c r="F93" t="s">
        <v>311</v>
      </c>
      <c r="G93" t="s">
        <v>87</v>
      </c>
      <c r="H93" s="17">
        <v>1000</v>
      </c>
      <c r="I93" s="17">
        <v>2000</v>
      </c>
      <c r="J93" s="17">
        <v>2000000</v>
      </c>
    </row>
    <row r="94" spans="2:10">
      <c r="B94">
        <v>5530</v>
      </c>
      <c r="C94" t="s">
        <v>176</v>
      </c>
      <c r="D94" t="s">
        <v>25</v>
      </c>
      <c r="E94" t="s">
        <v>134</v>
      </c>
      <c r="F94" t="s">
        <v>311</v>
      </c>
      <c r="G94" t="s">
        <v>87</v>
      </c>
      <c r="H94" s="17">
        <v>1000</v>
      </c>
      <c r="I94" s="17">
        <v>2000</v>
      </c>
      <c r="J94" s="17">
        <v>2000000</v>
      </c>
    </row>
    <row r="95" spans="2:10">
      <c r="B95">
        <v>5531</v>
      </c>
      <c r="C95" t="s">
        <v>177</v>
      </c>
      <c r="D95" t="s">
        <v>25</v>
      </c>
      <c r="E95" t="s">
        <v>134</v>
      </c>
      <c r="F95" t="s">
        <v>311</v>
      </c>
      <c r="G95" t="s">
        <v>87</v>
      </c>
      <c r="H95" s="17">
        <v>1000</v>
      </c>
      <c r="I95" s="17">
        <v>2000</v>
      </c>
      <c r="J95" s="17">
        <v>2000000</v>
      </c>
    </row>
    <row r="96" spans="2:10">
      <c r="B96">
        <v>5532</v>
      </c>
      <c r="C96" t="s">
        <v>178</v>
      </c>
      <c r="D96" t="s">
        <v>25</v>
      </c>
      <c r="E96" t="s">
        <v>134</v>
      </c>
      <c r="F96" t="s">
        <v>311</v>
      </c>
      <c r="G96" t="s">
        <v>87</v>
      </c>
      <c r="H96" s="17">
        <v>1000</v>
      </c>
      <c r="I96" s="17">
        <v>2000</v>
      </c>
      <c r="J96" s="17">
        <v>2000000</v>
      </c>
    </row>
    <row r="97" spans="2:10">
      <c r="B97">
        <v>5533</v>
      </c>
      <c r="C97" t="s">
        <v>179</v>
      </c>
      <c r="D97" t="s">
        <v>25</v>
      </c>
      <c r="E97" t="s">
        <v>134</v>
      </c>
      <c r="F97" t="s">
        <v>311</v>
      </c>
      <c r="G97" t="s">
        <v>87</v>
      </c>
      <c r="H97" s="17">
        <v>1000</v>
      </c>
      <c r="I97" s="17">
        <v>2000</v>
      </c>
      <c r="J97" s="17">
        <v>2000000</v>
      </c>
    </row>
    <row r="98" spans="2:10">
      <c r="B98">
        <v>5534</v>
      </c>
      <c r="C98" t="s">
        <v>180</v>
      </c>
      <c r="D98" t="s">
        <v>25</v>
      </c>
      <c r="E98" t="s">
        <v>134</v>
      </c>
      <c r="F98" t="s">
        <v>311</v>
      </c>
      <c r="G98" t="s">
        <v>87</v>
      </c>
      <c r="H98" s="17">
        <v>1000</v>
      </c>
      <c r="I98" s="17">
        <v>2000</v>
      </c>
      <c r="J98" s="17">
        <v>2000000</v>
      </c>
    </row>
    <row r="99" spans="2:10">
      <c r="B99">
        <v>5535</v>
      </c>
      <c r="C99" t="s">
        <v>181</v>
      </c>
      <c r="D99" t="s">
        <v>25</v>
      </c>
      <c r="E99" t="s">
        <v>134</v>
      </c>
      <c r="F99" t="s">
        <v>311</v>
      </c>
      <c r="G99" t="s">
        <v>87</v>
      </c>
      <c r="H99" s="17">
        <v>1000</v>
      </c>
      <c r="I99" s="17">
        <v>2000</v>
      </c>
      <c r="J99" s="17">
        <v>2000000</v>
      </c>
    </row>
    <row r="100" spans="2:10">
      <c r="B100">
        <v>5536</v>
      </c>
      <c r="C100" t="s">
        <v>182</v>
      </c>
      <c r="D100" t="s">
        <v>25</v>
      </c>
      <c r="E100" t="s">
        <v>134</v>
      </c>
      <c r="F100" t="s">
        <v>311</v>
      </c>
      <c r="G100" t="s">
        <v>87</v>
      </c>
      <c r="H100" s="17">
        <v>1000</v>
      </c>
      <c r="I100" s="17">
        <v>2000</v>
      </c>
      <c r="J100" s="17">
        <v>2000000</v>
      </c>
    </row>
    <row r="101" spans="2:10">
      <c r="B101">
        <v>5537</v>
      </c>
      <c r="C101" t="s">
        <v>183</v>
      </c>
      <c r="D101" t="s">
        <v>25</v>
      </c>
      <c r="E101" t="s">
        <v>134</v>
      </c>
      <c r="F101" t="s">
        <v>311</v>
      </c>
      <c r="G101" t="s">
        <v>87</v>
      </c>
      <c r="H101" s="17">
        <v>1000</v>
      </c>
      <c r="I101" s="17">
        <v>2000</v>
      </c>
      <c r="J101" s="17">
        <v>2000000</v>
      </c>
    </row>
    <row r="102" spans="2:10">
      <c r="B102">
        <v>5538</v>
      </c>
      <c r="C102" t="s">
        <v>184</v>
      </c>
      <c r="D102" t="s">
        <v>26</v>
      </c>
      <c r="E102" t="s">
        <v>134</v>
      </c>
      <c r="F102" t="s">
        <v>311</v>
      </c>
      <c r="G102" t="s">
        <v>87</v>
      </c>
      <c r="H102" s="17">
        <v>1000</v>
      </c>
      <c r="I102" s="17">
        <v>2000</v>
      </c>
      <c r="J102" s="17">
        <v>2000000</v>
      </c>
    </row>
    <row r="103" spans="2:10">
      <c r="B103">
        <v>5539</v>
      </c>
      <c r="C103" t="s">
        <v>185</v>
      </c>
      <c r="D103" t="s">
        <v>26</v>
      </c>
      <c r="E103" t="s">
        <v>134</v>
      </c>
      <c r="F103" t="s">
        <v>311</v>
      </c>
      <c r="G103" t="s">
        <v>87</v>
      </c>
      <c r="H103" s="17">
        <v>1000</v>
      </c>
      <c r="I103" s="17">
        <v>2000</v>
      </c>
      <c r="J103" s="17">
        <v>2000000</v>
      </c>
    </row>
    <row r="104" spans="2:10">
      <c r="B104">
        <v>5540</v>
      </c>
      <c r="C104" t="s">
        <v>186</v>
      </c>
      <c r="D104" t="s">
        <v>26</v>
      </c>
      <c r="E104" t="s">
        <v>134</v>
      </c>
      <c r="F104" t="s">
        <v>311</v>
      </c>
      <c r="G104" t="s">
        <v>87</v>
      </c>
      <c r="H104" s="17">
        <v>1000</v>
      </c>
      <c r="I104" s="17">
        <v>2000</v>
      </c>
      <c r="J104" s="17">
        <v>2000000</v>
      </c>
    </row>
    <row r="105" spans="2:10">
      <c r="B105">
        <v>5541</v>
      </c>
      <c r="C105" t="s">
        <v>187</v>
      </c>
      <c r="D105" t="s">
        <v>26</v>
      </c>
      <c r="E105" t="s">
        <v>134</v>
      </c>
      <c r="F105" t="s">
        <v>311</v>
      </c>
      <c r="G105" t="s">
        <v>87</v>
      </c>
      <c r="H105" s="17">
        <v>1000</v>
      </c>
      <c r="I105" s="17">
        <v>2000</v>
      </c>
      <c r="J105" s="17">
        <v>2000000</v>
      </c>
    </row>
    <row r="106" spans="2:10">
      <c r="B106">
        <v>5542</v>
      </c>
      <c r="C106" t="s">
        <v>188</v>
      </c>
      <c r="D106" t="s">
        <v>26</v>
      </c>
      <c r="E106" t="s">
        <v>134</v>
      </c>
      <c r="F106" t="s">
        <v>311</v>
      </c>
      <c r="G106" t="s">
        <v>87</v>
      </c>
      <c r="H106" s="17">
        <v>1000</v>
      </c>
      <c r="I106" s="17">
        <v>2000</v>
      </c>
      <c r="J106" s="17">
        <v>2000000</v>
      </c>
    </row>
    <row r="107" spans="2:10">
      <c r="B107">
        <v>5543</v>
      </c>
      <c r="C107" t="s">
        <v>189</v>
      </c>
      <c r="D107" t="s">
        <v>26</v>
      </c>
      <c r="E107" t="s">
        <v>134</v>
      </c>
      <c r="F107" t="s">
        <v>311</v>
      </c>
      <c r="G107" t="s">
        <v>87</v>
      </c>
      <c r="H107" s="17">
        <v>1000</v>
      </c>
      <c r="I107" s="17">
        <v>2000</v>
      </c>
      <c r="J107" s="17">
        <v>2000000</v>
      </c>
    </row>
    <row r="108" spans="2:10">
      <c r="B108">
        <v>5544</v>
      </c>
      <c r="C108" t="s">
        <v>190</v>
      </c>
      <c r="D108" t="s">
        <v>26</v>
      </c>
      <c r="E108" t="s">
        <v>134</v>
      </c>
      <c r="F108" t="s">
        <v>311</v>
      </c>
      <c r="G108" t="s">
        <v>87</v>
      </c>
      <c r="H108" s="17">
        <v>1000</v>
      </c>
      <c r="I108" s="17">
        <v>2000</v>
      </c>
      <c r="J108" s="17">
        <v>2000000</v>
      </c>
    </row>
    <row r="109" spans="2:10">
      <c r="B109">
        <v>5545</v>
      </c>
      <c r="C109" t="s">
        <v>191</v>
      </c>
      <c r="D109" t="s">
        <v>26</v>
      </c>
      <c r="E109" t="s">
        <v>134</v>
      </c>
      <c r="F109" t="s">
        <v>311</v>
      </c>
      <c r="G109" t="s">
        <v>87</v>
      </c>
      <c r="H109" s="17">
        <v>1000</v>
      </c>
      <c r="I109" s="17">
        <v>2000</v>
      </c>
      <c r="J109" s="17">
        <v>2000000</v>
      </c>
    </row>
    <row r="110" spans="2:10">
      <c r="B110">
        <v>5546</v>
      </c>
      <c r="C110" t="s">
        <v>192</v>
      </c>
      <c r="D110" t="s">
        <v>26</v>
      </c>
      <c r="E110" t="s">
        <v>134</v>
      </c>
      <c r="F110" t="s">
        <v>311</v>
      </c>
      <c r="G110" t="s">
        <v>87</v>
      </c>
      <c r="H110" s="17">
        <v>1000</v>
      </c>
      <c r="I110" s="17">
        <v>2000</v>
      </c>
      <c r="J110" s="17">
        <v>2000000</v>
      </c>
    </row>
    <row r="111" spans="2:10">
      <c r="B111">
        <v>5547</v>
      </c>
      <c r="C111" t="s">
        <v>193</v>
      </c>
      <c r="D111" t="s">
        <v>26</v>
      </c>
      <c r="E111" t="s">
        <v>134</v>
      </c>
      <c r="F111" t="s">
        <v>311</v>
      </c>
      <c r="G111" t="s">
        <v>87</v>
      </c>
      <c r="H111" s="17">
        <v>1000</v>
      </c>
      <c r="I111" s="17">
        <v>2000</v>
      </c>
      <c r="J111" s="17">
        <v>2000000</v>
      </c>
    </row>
    <row r="112" spans="2:10">
      <c r="B112">
        <v>5548</v>
      </c>
      <c r="C112" t="s">
        <v>194</v>
      </c>
      <c r="D112" t="s">
        <v>22</v>
      </c>
      <c r="E112" t="s">
        <v>86</v>
      </c>
      <c r="F112" t="s">
        <v>311</v>
      </c>
      <c r="G112" t="s">
        <v>87</v>
      </c>
      <c r="H112" s="17">
        <v>1000</v>
      </c>
      <c r="I112" s="17">
        <v>2000</v>
      </c>
      <c r="J112" s="17">
        <v>2000000</v>
      </c>
    </row>
    <row r="113" spans="2:10">
      <c r="B113">
        <v>5549</v>
      </c>
      <c r="C113" t="s">
        <v>195</v>
      </c>
      <c r="D113" t="s">
        <v>22</v>
      </c>
      <c r="E113" t="s">
        <v>86</v>
      </c>
      <c r="F113" t="s">
        <v>311</v>
      </c>
      <c r="G113" t="s">
        <v>87</v>
      </c>
      <c r="H113" s="17">
        <v>1000</v>
      </c>
      <c r="I113" s="17">
        <v>2000</v>
      </c>
      <c r="J113" s="17">
        <v>2000000</v>
      </c>
    </row>
    <row r="114" spans="2:10">
      <c r="B114">
        <v>5550</v>
      </c>
      <c r="C114" t="s">
        <v>196</v>
      </c>
      <c r="D114" t="s">
        <v>22</v>
      </c>
      <c r="E114" t="s">
        <v>86</v>
      </c>
      <c r="F114" t="s">
        <v>311</v>
      </c>
      <c r="G114" t="s">
        <v>87</v>
      </c>
      <c r="H114" s="17">
        <v>1000</v>
      </c>
      <c r="I114" s="17">
        <v>2000</v>
      </c>
      <c r="J114" s="17">
        <v>2000000</v>
      </c>
    </row>
    <row r="115" spans="2:10">
      <c r="B115">
        <v>5551</v>
      </c>
      <c r="C115" t="s">
        <v>197</v>
      </c>
      <c r="D115" t="s">
        <v>23</v>
      </c>
      <c r="E115" t="s">
        <v>86</v>
      </c>
      <c r="F115" t="s">
        <v>311</v>
      </c>
      <c r="G115" t="s">
        <v>87</v>
      </c>
      <c r="H115" s="17">
        <v>1000</v>
      </c>
      <c r="I115" s="17">
        <v>2000</v>
      </c>
      <c r="J115" s="17">
        <v>2000000</v>
      </c>
    </row>
    <row r="116" spans="2:10">
      <c r="B116">
        <v>5552</v>
      </c>
      <c r="C116" t="s">
        <v>198</v>
      </c>
      <c r="D116" t="s">
        <v>23</v>
      </c>
      <c r="E116" t="s">
        <v>86</v>
      </c>
      <c r="F116" t="s">
        <v>311</v>
      </c>
      <c r="G116" t="s">
        <v>87</v>
      </c>
      <c r="H116" s="17">
        <v>1000</v>
      </c>
      <c r="I116" s="17">
        <v>2000</v>
      </c>
      <c r="J116" s="17">
        <v>2000000</v>
      </c>
    </row>
    <row r="117" spans="2:10">
      <c r="B117">
        <v>5553</v>
      </c>
      <c r="C117" t="s">
        <v>199</v>
      </c>
      <c r="D117" t="s">
        <v>23</v>
      </c>
      <c r="E117" t="s">
        <v>86</v>
      </c>
      <c r="F117" t="s">
        <v>311</v>
      </c>
      <c r="G117" t="s">
        <v>87</v>
      </c>
      <c r="H117" s="17">
        <v>1000</v>
      </c>
      <c r="I117" s="17">
        <v>2000</v>
      </c>
      <c r="J117" s="17">
        <v>2000000</v>
      </c>
    </row>
    <row r="118" spans="2:10">
      <c r="B118">
        <v>5554</v>
      </c>
      <c r="C118" t="s">
        <v>200</v>
      </c>
      <c r="D118" t="s">
        <v>23</v>
      </c>
      <c r="E118" t="s">
        <v>86</v>
      </c>
      <c r="F118" t="s">
        <v>311</v>
      </c>
      <c r="G118" t="s">
        <v>87</v>
      </c>
      <c r="H118" s="17">
        <v>1000</v>
      </c>
      <c r="I118" s="17">
        <v>2000</v>
      </c>
      <c r="J118" s="17">
        <v>2000000</v>
      </c>
    </row>
    <row r="119" spans="2:10">
      <c r="B119">
        <v>5555</v>
      </c>
      <c r="C119" t="s">
        <v>201</v>
      </c>
      <c r="D119" t="s">
        <v>23</v>
      </c>
      <c r="E119" t="s">
        <v>86</v>
      </c>
      <c r="F119" t="s">
        <v>311</v>
      </c>
      <c r="G119" t="s">
        <v>87</v>
      </c>
      <c r="H119" s="17">
        <v>1000</v>
      </c>
      <c r="I119" s="17">
        <v>2000</v>
      </c>
      <c r="J119" s="17">
        <v>2000000</v>
      </c>
    </row>
    <row r="120" spans="2:10">
      <c r="B120">
        <v>5556</v>
      </c>
      <c r="C120" t="s">
        <v>202</v>
      </c>
      <c r="D120" t="s">
        <v>23</v>
      </c>
      <c r="E120" t="s">
        <v>86</v>
      </c>
      <c r="F120" t="s">
        <v>311</v>
      </c>
      <c r="G120" t="s">
        <v>87</v>
      </c>
      <c r="H120" s="17">
        <v>1000</v>
      </c>
      <c r="I120" s="17">
        <v>2000</v>
      </c>
      <c r="J120" s="17">
        <v>2000000</v>
      </c>
    </row>
    <row r="121" spans="2:10">
      <c r="B121">
        <v>5557</v>
      </c>
      <c r="C121" t="s">
        <v>203</v>
      </c>
      <c r="D121" t="s">
        <v>23</v>
      </c>
      <c r="E121" t="s">
        <v>86</v>
      </c>
      <c r="F121" t="s">
        <v>311</v>
      </c>
      <c r="G121" t="s">
        <v>87</v>
      </c>
      <c r="H121" s="17">
        <v>1000</v>
      </c>
      <c r="I121" s="17">
        <v>2000</v>
      </c>
      <c r="J121" s="17">
        <v>2000000</v>
      </c>
    </row>
    <row r="122" spans="2:10">
      <c r="B122">
        <v>5558</v>
      </c>
      <c r="C122" t="s">
        <v>204</v>
      </c>
      <c r="D122" t="s">
        <v>23</v>
      </c>
      <c r="E122" t="s">
        <v>86</v>
      </c>
      <c r="F122" t="s">
        <v>311</v>
      </c>
      <c r="G122" t="s">
        <v>87</v>
      </c>
      <c r="H122" s="17">
        <v>1000</v>
      </c>
      <c r="I122" s="17">
        <v>2000</v>
      </c>
      <c r="J122" s="17">
        <v>2000000</v>
      </c>
    </row>
    <row r="123" spans="2:10">
      <c r="B123">
        <v>5559</v>
      </c>
      <c r="C123" t="s">
        <v>205</v>
      </c>
      <c r="D123" t="s">
        <v>23</v>
      </c>
      <c r="E123" t="s">
        <v>86</v>
      </c>
      <c r="F123" t="s">
        <v>311</v>
      </c>
      <c r="G123" t="s">
        <v>87</v>
      </c>
      <c r="H123" s="17">
        <v>1000</v>
      </c>
      <c r="I123" s="17">
        <v>2000</v>
      </c>
      <c r="J123" s="17">
        <v>2000000</v>
      </c>
    </row>
    <row r="124" spans="2:10">
      <c r="B124">
        <v>5560</v>
      </c>
      <c r="C124" t="s">
        <v>206</v>
      </c>
      <c r="D124" t="s">
        <v>23</v>
      </c>
      <c r="E124" t="s">
        <v>86</v>
      </c>
      <c r="F124" t="s">
        <v>311</v>
      </c>
      <c r="G124" t="s">
        <v>87</v>
      </c>
      <c r="H124" s="17">
        <v>1000</v>
      </c>
      <c r="I124" s="17">
        <v>2000</v>
      </c>
      <c r="J124" s="17">
        <v>2000000</v>
      </c>
    </row>
    <row r="125" spans="2:10">
      <c r="B125">
        <v>5561</v>
      </c>
      <c r="C125" t="s">
        <v>207</v>
      </c>
      <c r="D125" t="s">
        <v>24</v>
      </c>
      <c r="E125" t="s">
        <v>86</v>
      </c>
      <c r="F125" t="s">
        <v>311</v>
      </c>
      <c r="G125" t="s">
        <v>87</v>
      </c>
      <c r="H125" s="17">
        <v>1000</v>
      </c>
      <c r="I125" s="17">
        <v>2000</v>
      </c>
      <c r="J125" s="17">
        <v>2000000</v>
      </c>
    </row>
    <row r="126" spans="2:10">
      <c r="B126">
        <v>5562</v>
      </c>
      <c r="C126" t="s">
        <v>208</v>
      </c>
      <c r="D126" t="s">
        <v>24</v>
      </c>
      <c r="E126" t="s">
        <v>86</v>
      </c>
      <c r="F126" t="s">
        <v>311</v>
      </c>
      <c r="G126" t="s">
        <v>87</v>
      </c>
      <c r="H126" s="17">
        <v>1000</v>
      </c>
      <c r="I126" s="17">
        <v>2000</v>
      </c>
      <c r="J126" s="17">
        <v>2000000</v>
      </c>
    </row>
    <row r="127" spans="2:10">
      <c r="B127">
        <v>5563</v>
      </c>
      <c r="C127" t="s">
        <v>209</v>
      </c>
      <c r="D127" t="s">
        <v>24</v>
      </c>
      <c r="E127" t="s">
        <v>86</v>
      </c>
      <c r="F127" t="s">
        <v>311</v>
      </c>
      <c r="G127" t="s">
        <v>87</v>
      </c>
      <c r="H127" s="17">
        <v>1000</v>
      </c>
      <c r="I127" s="17">
        <v>2000</v>
      </c>
      <c r="J127" s="17">
        <v>2000000</v>
      </c>
    </row>
    <row r="128" spans="2:10">
      <c r="B128">
        <v>5564</v>
      </c>
      <c r="C128" t="s">
        <v>210</v>
      </c>
      <c r="D128" t="s">
        <v>24</v>
      </c>
      <c r="E128" t="s">
        <v>86</v>
      </c>
      <c r="F128" t="s">
        <v>311</v>
      </c>
      <c r="G128" t="s">
        <v>87</v>
      </c>
      <c r="H128" s="17">
        <v>1000</v>
      </c>
      <c r="I128" s="17">
        <v>2000</v>
      </c>
      <c r="J128" s="17">
        <v>2000000</v>
      </c>
    </row>
    <row r="129" spans="2:10">
      <c r="B129">
        <v>5565</v>
      </c>
      <c r="C129" t="s">
        <v>211</v>
      </c>
      <c r="D129" t="s">
        <v>24</v>
      </c>
      <c r="E129" t="s">
        <v>86</v>
      </c>
      <c r="F129" t="s">
        <v>311</v>
      </c>
      <c r="G129" t="s">
        <v>87</v>
      </c>
      <c r="H129" s="17">
        <v>1000</v>
      </c>
      <c r="I129" s="17">
        <v>2000</v>
      </c>
      <c r="J129" s="17">
        <v>2000000</v>
      </c>
    </row>
    <row r="130" spans="2:10">
      <c r="B130">
        <v>5566</v>
      </c>
      <c r="C130" t="s">
        <v>212</v>
      </c>
      <c r="D130" t="s">
        <v>24</v>
      </c>
      <c r="E130" t="s">
        <v>86</v>
      </c>
      <c r="F130" t="s">
        <v>311</v>
      </c>
      <c r="G130" t="s">
        <v>87</v>
      </c>
      <c r="H130" s="17">
        <v>1000</v>
      </c>
      <c r="I130" s="17">
        <v>2000</v>
      </c>
      <c r="J130" s="17">
        <v>2000000</v>
      </c>
    </row>
    <row r="131" spans="2:10">
      <c r="B131">
        <v>5567</v>
      </c>
      <c r="C131" t="s">
        <v>213</v>
      </c>
      <c r="D131" t="s">
        <v>24</v>
      </c>
      <c r="E131" t="s">
        <v>86</v>
      </c>
      <c r="F131" t="s">
        <v>311</v>
      </c>
      <c r="G131" t="s">
        <v>87</v>
      </c>
      <c r="H131" s="17">
        <v>1000</v>
      </c>
      <c r="I131" s="17">
        <v>2000</v>
      </c>
      <c r="J131" s="17">
        <v>2000000</v>
      </c>
    </row>
    <row r="132" spans="2:10">
      <c r="B132">
        <v>5568</v>
      </c>
      <c r="C132" t="s">
        <v>214</v>
      </c>
      <c r="D132" t="s">
        <v>24</v>
      </c>
      <c r="E132" t="s">
        <v>86</v>
      </c>
      <c r="F132" t="s">
        <v>311</v>
      </c>
      <c r="G132" t="s">
        <v>87</v>
      </c>
      <c r="H132" s="17">
        <v>1000</v>
      </c>
      <c r="I132" s="17">
        <v>2000</v>
      </c>
      <c r="J132" s="17">
        <v>2000000</v>
      </c>
    </row>
    <row r="133" spans="2:10">
      <c r="B133">
        <v>5569</v>
      </c>
      <c r="C133" t="s">
        <v>215</v>
      </c>
      <c r="D133" t="s">
        <v>24</v>
      </c>
      <c r="E133" t="s">
        <v>86</v>
      </c>
      <c r="F133" t="s">
        <v>311</v>
      </c>
      <c r="G133" t="s">
        <v>87</v>
      </c>
      <c r="H133" s="17">
        <v>1000</v>
      </c>
      <c r="I133" s="17">
        <v>2000</v>
      </c>
      <c r="J133" s="17">
        <v>2000000</v>
      </c>
    </row>
    <row r="134" spans="2:10">
      <c r="B134">
        <v>5570</v>
      </c>
      <c r="C134" t="s">
        <v>216</v>
      </c>
      <c r="D134" t="s">
        <v>24</v>
      </c>
      <c r="E134" t="s">
        <v>86</v>
      </c>
      <c r="F134" t="s">
        <v>311</v>
      </c>
      <c r="G134" t="s">
        <v>87</v>
      </c>
      <c r="H134" s="17">
        <v>1000</v>
      </c>
      <c r="I134" s="17">
        <v>2000</v>
      </c>
      <c r="J134" s="17">
        <v>2000000</v>
      </c>
    </row>
    <row r="135" spans="2:10">
      <c r="B135">
        <v>5571</v>
      </c>
      <c r="C135" t="s">
        <v>217</v>
      </c>
      <c r="D135" t="s">
        <v>25</v>
      </c>
      <c r="E135" t="s">
        <v>86</v>
      </c>
      <c r="F135" t="s">
        <v>311</v>
      </c>
      <c r="G135" t="s">
        <v>87</v>
      </c>
      <c r="H135" s="17">
        <v>1000</v>
      </c>
      <c r="I135" s="17">
        <v>2000</v>
      </c>
      <c r="J135" s="17">
        <v>2000000</v>
      </c>
    </row>
    <row r="136" spans="2:10">
      <c r="B136">
        <v>5572</v>
      </c>
      <c r="C136" t="s">
        <v>218</v>
      </c>
      <c r="D136" t="s">
        <v>25</v>
      </c>
      <c r="E136" t="s">
        <v>86</v>
      </c>
      <c r="F136" t="s">
        <v>311</v>
      </c>
      <c r="G136" t="s">
        <v>87</v>
      </c>
      <c r="H136" s="17">
        <v>1000</v>
      </c>
      <c r="I136" s="17">
        <v>2000</v>
      </c>
      <c r="J136" s="17">
        <v>2000000</v>
      </c>
    </row>
    <row r="137" spans="2:10">
      <c r="B137">
        <v>5573</v>
      </c>
      <c r="C137" t="s">
        <v>219</v>
      </c>
      <c r="D137" t="s">
        <v>25</v>
      </c>
      <c r="E137" t="s">
        <v>86</v>
      </c>
      <c r="F137" t="s">
        <v>311</v>
      </c>
      <c r="G137" t="s">
        <v>87</v>
      </c>
      <c r="H137" s="17">
        <v>1000</v>
      </c>
      <c r="I137" s="17">
        <v>2000</v>
      </c>
      <c r="J137" s="17">
        <v>2000000</v>
      </c>
    </row>
    <row r="138" spans="2:10">
      <c r="B138">
        <v>5574</v>
      </c>
      <c r="C138" t="s">
        <v>220</v>
      </c>
      <c r="D138" t="s">
        <v>25</v>
      </c>
      <c r="E138" t="s">
        <v>86</v>
      </c>
      <c r="F138" t="s">
        <v>311</v>
      </c>
      <c r="G138" t="s">
        <v>87</v>
      </c>
      <c r="H138" s="17">
        <v>1000</v>
      </c>
      <c r="I138" s="17">
        <v>2000</v>
      </c>
      <c r="J138" s="17">
        <v>2000000</v>
      </c>
    </row>
    <row r="139" spans="2:10">
      <c r="B139">
        <v>5575</v>
      </c>
      <c r="C139" t="s">
        <v>221</v>
      </c>
      <c r="D139" t="s">
        <v>25</v>
      </c>
      <c r="E139" t="s">
        <v>86</v>
      </c>
      <c r="F139" t="s">
        <v>311</v>
      </c>
      <c r="G139" t="s">
        <v>87</v>
      </c>
      <c r="H139" s="17">
        <v>1000</v>
      </c>
      <c r="I139" s="17">
        <v>2000</v>
      </c>
      <c r="J139" s="17">
        <v>2000000</v>
      </c>
    </row>
    <row r="140" spans="2:10">
      <c r="B140">
        <v>5576</v>
      </c>
      <c r="C140" t="s">
        <v>222</v>
      </c>
      <c r="D140" t="s">
        <v>25</v>
      </c>
      <c r="E140" t="s">
        <v>86</v>
      </c>
      <c r="F140" t="s">
        <v>311</v>
      </c>
      <c r="G140" t="s">
        <v>87</v>
      </c>
      <c r="H140" s="17">
        <v>1000</v>
      </c>
      <c r="I140" s="17">
        <v>2000</v>
      </c>
      <c r="J140" s="17">
        <v>2000000</v>
      </c>
    </row>
    <row r="141" spans="2:10">
      <c r="B141">
        <v>5577</v>
      </c>
      <c r="C141" t="s">
        <v>223</v>
      </c>
      <c r="D141" t="s">
        <v>25</v>
      </c>
      <c r="E141" t="s">
        <v>86</v>
      </c>
      <c r="F141" t="s">
        <v>311</v>
      </c>
      <c r="G141" t="s">
        <v>87</v>
      </c>
      <c r="H141" s="17">
        <v>1000</v>
      </c>
      <c r="I141" s="17">
        <v>2000</v>
      </c>
      <c r="J141" s="17">
        <v>2000000</v>
      </c>
    </row>
    <row r="142" spans="2:10">
      <c r="B142">
        <v>5578</v>
      </c>
      <c r="C142" t="s">
        <v>224</v>
      </c>
      <c r="D142" t="s">
        <v>25</v>
      </c>
      <c r="E142" t="s">
        <v>86</v>
      </c>
      <c r="F142" t="s">
        <v>311</v>
      </c>
      <c r="G142" t="s">
        <v>87</v>
      </c>
      <c r="H142" s="17">
        <v>1000</v>
      </c>
      <c r="I142" s="17">
        <v>2000</v>
      </c>
      <c r="J142" s="17">
        <v>2000000</v>
      </c>
    </row>
    <row r="143" spans="2:10">
      <c r="B143">
        <v>5579</v>
      </c>
      <c r="C143" t="s">
        <v>225</v>
      </c>
      <c r="D143" t="s">
        <v>25</v>
      </c>
      <c r="E143" t="s">
        <v>86</v>
      </c>
      <c r="F143" t="s">
        <v>311</v>
      </c>
      <c r="G143" t="s">
        <v>87</v>
      </c>
      <c r="H143" s="17">
        <v>1000</v>
      </c>
      <c r="I143" s="17">
        <v>2000</v>
      </c>
      <c r="J143" s="17">
        <v>2000000</v>
      </c>
    </row>
    <row r="144" spans="2:10">
      <c r="B144">
        <v>5580</v>
      </c>
      <c r="C144" t="s">
        <v>226</v>
      </c>
      <c r="D144" t="s">
        <v>25</v>
      </c>
      <c r="E144" t="s">
        <v>86</v>
      </c>
      <c r="F144" t="s">
        <v>311</v>
      </c>
      <c r="G144" t="s">
        <v>87</v>
      </c>
      <c r="H144" s="17">
        <v>1000</v>
      </c>
      <c r="I144" s="17">
        <v>2000</v>
      </c>
      <c r="J144" s="17">
        <v>2000000</v>
      </c>
    </row>
    <row r="145" spans="2:10">
      <c r="B145">
        <v>5581</v>
      </c>
      <c r="C145" t="s">
        <v>227</v>
      </c>
      <c r="D145" t="s">
        <v>26</v>
      </c>
      <c r="E145" t="s">
        <v>86</v>
      </c>
      <c r="F145" t="s">
        <v>311</v>
      </c>
      <c r="G145" t="s">
        <v>87</v>
      </c>
      <c r="H145" s="17">
        <v>1000</v>
      </c>
      <c r="I145" s="17">
        <v>2000</v>
      </c>
      <c r="J145" s="17">
        <v>2000000</v>
      </c>
    </row>
    <row r="146" spans="2:10">
      <c r="B146">
        <v>5582</v>
      </c>
      <c r="C146" t="s">
        <v>228</v>
      </c>
      <c r="D146" t="s">
        <v>26</v>
      </c>
      <c r="E146" t="s">
        <v>86</v>
      </c>
      <c r="F146" t="s">
        <v>311</v>
      </c>
      <c r="G146" t="s">
        <v>87</v>
      </c>
      <c r="H146" s="17">
        <v>1000</v>
      </c>
      <c r="I146" s="17">
        <v>2000</v>
      </c>
      <c r="J146" s="17">
        <v>2000000</v>
      </c>
    </row>
    <row r="147" spans="2:10">
      <c r="B147">
        <v>5583</v>
      </c>
      <c r="C147" t="s">
        <v>229</v>
      </c>
      <c r="D147" t="s">
        <v>26</v>
      </c>
      <c r="E147" t="s">
        <v>86</v>
      </c>
      <c r="F147" t="s">
        <v>311</v>
      </c>
      <c r="G147" t="s">
        <v>87</v>
      </c>
      <c r="H147" s="17">
        <v>1000</v>
      </c>
      <c r="I147" s="17">
        <v>2000</v>
      </c>
      <c r="J147" s="17">
        <v>2000000</v>
      </c>
    </row>
    <row r="148" spans="2:10">
      <c r="B148">
        <v>5584</v>
      </c>
      <c r="C148" t="s">
        <v>230</v>
      </c>
      <c r="D148" t="s">
        <v>26</v>
      </c>
      <c r="E148" t="s">
        <v>86</v>
      </c>
      <c r="F148" t="s">
        <v>311</v>
      </c>
      <c r="G148" t="s">
        <v>87</v>
      </c>
      <c r="H148" s="17">
        <v>1000</v>
      </c>
      <c r="I148" s="17">
        <v>2000</v>
      </c>
      <c r="J148" s="17">
        <v>2000000</v>
      </c>
    </row>
    <row r="149" spans="2:10">
      <c r="B149">
        <v>5585</v>
      </c>
      <c r="C149" t="s">
        <v>231</v>
      </c>
      <c r="D149" t="s">
        <v>26</v>
      </c>
      <c r="E149" t="s">
        <v>86</v>
      </c>
      <c r="F149" t="s">
        <v>311</v>
      </c>
      <c r="G149" t="s">
        <v>87</v>
      </c>
      <c r="H149" s="17">
        <v>1000</v>
      </c>
      <c r="I149" s="17">
        <v>2000</v>
      </c>
      <c r="J149" s="17">
        <v>2000000</v>
      </c>
    </row>
    <row r="150" spans="2:10">
      <c r="B150">
        <v>5586</v>
      </c>
      <c r="C150" t="s">
        <v>232</v>
      </c>
      <c r="D150" t="s">
        <v>26</v>
      </c>
      <c r="E150" t="s">
        <v>86</v>
      </c>
      <c r="F150" t="s">
        <v>311</v>
      </c>
      <c r="G150" t="s">
        <v>87</v>
      </c>
      <c r="H150" s="17">
        <v>1000</v>
      </c>
      <c r="I150" s="17">
        <v>2000</v>
      </c>
      <c r="J150" s="17">
        <v>2000000</v>
      </c>
    </row>
    <row r="151" spans="2:10">
      <c r="B151">
        <v>5587</v>
      </c>
      <c r="C151" t="s">
        <v>233</v>
      </c>
      <c r="D151" t="s">
        <v>26</v>
      </c>
      <c r="E151" t="s">
        <v>86</v>
      </c>
      <c r="F151" t="s">
        <v>311</v>
      </c>
      <c r="G151" t="s">
        <v>87</v>
      </c>
      <c r="H151" s="17">
        <v>1000</v>
      </c>
      <c r="I151" s="17">
        <v>2000</v>
      </c>
      <c r="J151" s="17">
        <v>2000000</v>
      </c>
    </row>
    <row r="152" spans="2:10">
      <c r="B152">
        <v>5588</v>
      </c>
      <c r="C152" t="s">
        <v>234</v>
      </c>
      <c r="D152" t="s">
        <v>26</v>
      </c>
      <c r="E152" t="s">
        <v>86</v>
      </c>
      <c r="F152" t="s">
        <v>311</v>
      </c>
      <c r="G152" t="s">
        <v>87</v>
      </c>
      <c r="H152" s="17">
        <v>1000</v>
      </c>
      <c r="I152" s="17">
        <v>2000</v>
      </c>
      <c r="J152" s="17">
        <v>2000000</v>
      </c>
    </row>
    <row r="153" spans="2:10">
      <c r="B153">
        <v>5589</v>
      </c>
      <c r="C153" t="s">
        <v>235</v>
      </c>
      <c r="D153" t="s">
        <v>26</v>
      </c>
      <c r="E153" t="s">
        <v>86</v>
      </c>
      <c r="F153" t="s">
        <v>311</v>
      </c>
      <c r="G153" t="s">
        <v>87</v>
      </c>
      <c r="H153" s="17">
        <v>1000</v>
      </c>
      <c r="I153" s="17">
        <v>2000</v>
      </c>
      <c r="J153" s="17">
        <v>2000000</v>
      </c>
    </row>
    <row r="154" spans="2:10">
      <c r="B154">
        <v>5590</v>
      </c>
      <c r="C154" t="s">
        <v>236</v>
      </c>
      <c r="D154" t="s">
        <v>26</v>
      </c>
      <c r="E154" t="s">
        <v>86</v>
      </c>
      <c r="F154" t="s">
        <v>311</v>
      </c>
      <c r="G154" t="s">
        <v>87</v>
      </c>
      <c r="H154" s="17">
        <v>1000</v>
      </c>
      <c r="I154" s="17">
        <v>2000</v>
      </c>
      <c r="J154" s="17">
        <v>2000000</v>
      </c>
    </row>
    <row r="155" spans="2:10">
      <c r="B155">
        <v>5591</v>
      </c>
      <c r="C155" t="s">
        <v>237</v>
      </c>
      <c r="D155" t="s">
        <v>21</v>
      </c>
      <c r="E155" t="s">
        <v>94</v>
      </c>
      <c r="F155" t="s">
        <v>311</v>
      </c>
      <c r="G155" t="s">
        <v>87</v>
      </c>
      <c r="H155" s="17">
        <v>1000</v>
      </c>
      <c r="I155" s="17">
        <v>2000</v>
      </c>
      <c r="J155" s="17">
        <v>2000000</v>
      </c>
    </row>
    <row r="156" spans="2:10">
      <c r="B156">
        <v>5592</v>
      </c>
      <c r="C156" t="s">
        <v>238</v>
      </c>
      <c r="D156" t="s">
        <v>21</v>
      </c>
      <c r="E156" t="s">
        <v>94</v>
      </c>
      <c r="F156" t="s">
        <v>311</v>
      </c>
      <c r="G156" t="s">
        <v>87</v>
      </c>
      <c r="H156" s="17">
        <v>1000</v>
      </c>
      <c r="I156" s="17">
        <v>2000</v>
      </c>
      <c r="J156" s="17">
        <v>2000000</v>
      </c>
    </row>
    <row r="157" spans="2:10">
      <c r="B157">
        <v>5593</v>
      </c>
      <c r="C157" t="s">
        <v>239</v>
      </c>
      <c r="D157" t="s">
        <v>21</v>
      </c>
      <c r="E157" t="s">
        <v>94</v>
      </c>
      <c r="F157" t="s">
        <v>311</v>
      </c>
      <c r="G157" t="s">
        <v>87</v>
      </c>
      <c r="H157" s="17">
        <v>1000</v>
      </c>
      <c r="I157" s="17">
        <v>2000</v>
      </c>
      <c r="J157" s="17">
        <v>2000000</v>
      </c>
    </row>
    <row r="158" spans="2:10">
      <c r="B158">
        <v>5594</v>
      </c>
      <c r="C158" t="s">
        <v>240</v>
      </c>
      <c r="D158" t="s">
        <v>21</v>
      </c>
      <c r="E158" t="s">
        <v>94</v>
      </c>
      <c r="F158" t="s">
        <v>311</v>
      </c>
      <c r="G158" t="s">
        <v>87</v>
      </c>
      <c r="H158" s="17">
        <v>1000</v>
      </c>
      <c r="I158" s="17">
        <v>2000</v>
      </c>
      <c r="J158" s="17">
        <v>2000000</v>
      </c>
    </row>
    <row r="159" spans="2:10">
      <c r="B159">
        <v>5595</v>
      </c>
      <c r="C159" t="s">
        <v>241</v>
      </c>
      <c r="D159" t="s">
        <v>21</v>
      </c>
      <c r="E159" t="s">
        <v>94</v>
      </c>
      <c r="F159" t="s">
        <v>311</v>
      </c>
      <c r="G159" t="s">
        <v>87</v>
      </c>
      <c r="H159" s="17">
        <v>1000</v>
      </c>
      <c r="I159" s="17">
        <v>2000</v>
      </c>
      <c r="J159" s="17">
        <v>2000000</v>
      </c>
    </row>
    <row r="160" spans="2:10">
      <c r="B160">
        <v>5596</v>
      </c>
      <c r="C160" t="s">
        <v>242</v>
      </c>
      <c r="D160" t="s">
        <v>21</v>
      </c>
      <c r="E160" t="s">
        <v>94</v>
      </c>
      <c r="F160" t="s">
        <v>311</v>
      </c>
      <c r="G160" t="s">
        <v>87</v>
      </c>
      <c r="H160" s="17">
        <v>1000</v>
      </c>
      <c r="I160" s="17">
        <v>2000</v>
      </c>
      <c r="J160" s="17">
        <v>2000000</v>
      </c>
    </row>
    <row r="161" spans="2:10">
      <c r="B161">
        <v>5597</v>
      </c>
      <c r="C161" t="s">
        <v>243</v>
      </c>
      <c r="D161" t="s">
        <v>21</v>
      </c>
      <c r="E161" t="s">
        <v>94</v>
      </c>
      <c r="F161" t="s">
        <v>311</v>
      </c>
      <c r="G161" t="s">
        <v>87</v>
      </c>
      <c r="H161" s="17">
        <v>1000</v>
      </c>
      <c r="I161" s="17">
        <v>2000</v>
      </c>
      <c r="J161" s="17">
        <v>2000000</v>
      </c>
    </row>
    <row r="162" spans="2:10">
      <c r="B162">
        <v>5598</v>
      </c>
      <c r="C162" t="s">
        <v>244</v>
      </c>
      <c r="D162" t="s">
        <v>21</v>
      </c>
      <c r="E162" t="s">
        <v>94</v>
      </c>
      <c r="F162" t="s">
        <v>311</v>
      </c>
      <c r="G162" t="s">
        <v>87</v>
      </c>
      <c r="H162" s="17">
        <v>1000</v>
      </c>
      <c r="I162" s="17">
        <v>2000</v>
      </c>
      <c r="J162" s="17">
        <v>2000000</v>
      </c>
    </row>
    <row r="163" spans="2:10">
      <c r="B163">
        <v>5599</v>
      </c>
      <c r="C163" t="s">
        <v>245</v>
      </c>
      <c r="D163" t="s">
        <v>21</v>
      </c>
      <c r="E163" t="s">
        <v>94</v>
      </c>
      <c r="F163" t="s">
        <v>311</v>
      </c>
      <c r="G163" t="s">
        <v>87</v>
      </c>
      <c r="H163" s="17">
        <v>1000</v>
      </c>
      <c r="I163" s="17">
        <v>2000</v>
      </c>
      <c r="J163" s="17">
        <v>2000000</v>
      </c>
    </row>
    <row r="164" spans="2:10">
      <c r="B164">
        <v>5600</v>
      </c>
      <c r="C164" t="s">
        <v>246</v>
      </c>
      <c r="D164" t="s">
        <v>21</v>
      </c>
      <c r="E164" t="s">
        <v>94</v>
      </c>
      <c r="F164" t="s">
        <v>311</v>
      </c>
      <c r="G164" t="s">
        <v>87</v>
      </c>
      <c r="H164" s="17">
        <v>1000</v>
      </c>
      <c r="I164" s="17">
        <v>2000</v>
      </c>
      <c r="J164" s="17">
        <v>2000000</v>
      </c>
    </row>
    <row r="165" spans="2:10">
      <c r="B165">
        <v>5601</v>
      </c>
      <c r="C165" t="s">
        <v>247</v>
      </c>
      <c r="D165" t="s">
        <v>22</v>
      </c>
      <c r="E165" t="s">
        <v>94</v>
      </c>
      <c r="F165" t="s">
        <v>311</v>
      </c>
      <c r="G165" t="s">
        <v>87</v>
      </c>
      <c r="H165" s="17">
        <v>1000</v>
      </c>
      <c r="I165" s="17">
        <v>2000</v>
      </c>
      <c r="J165" s="17">
        <v>2000000</v>
      </c>
    </row>
    <row r="166" spans="2:10">
      <c r="B166">
        <v>5602</v>
      </c>
      <c r="C166" t="s">
        <v>248</v>
      </c>
      <c r="D166" t="s">
        <v>22</v>
      </c>
      <c r="E166" t="s">
        <v>94</v>
      </c>
      <c r="F166" t="s">
        <v>311</v>
      </c>
      <c r="G166" t="s">
        <v>87</v>
      </c>
      <c r="H166" s="17">
        <v>1000</v>
      </c>
      <c r="I166" s="17">
        <v>2000</v>
      </c>
      <c r="J166" s="17">
        <v>2000000</v>
      </c>
    </row>
    <row r="167" spans="2:10">
      <c r="B167">
        <v>5603</v>
      </c>
      <c r="C167" t="s">
        <v>249</v>
      </c>
      <c r="D167" t="s">
        <v>22</v>
      </c>
      <c r="E167" t="s">
        <v>94</v>
      </c>
      <c r="F167" t="s">
        <v>311</v>
      </c>
      <c r="G167" t="s">
        <v>87</v>
      </c>
      <c r="H167" s="17">
        <v>1000</v>
      </c>
      <c r="I167" s="17">
        <v>2000</v>
      </c>
      <c r="J167" s="17">
        <v>2000000</v>
      </c>
    </row>
    <row r="168" spans="2:10">
      <c r="B168">
        <v>5604</v>
      </c>
      <c r="C168" t="s">
        <v>250</v>
      </c>
      <c r="D168" t="s">
        <v>22</v>
      </c>
      <c r="E168" t="s">
        <v>94</v>
      </c>
      <c r="F168" t="s">
        <v>311</v>
      </c>
      <c r="G168" t="s">
        <v>87</v>
      </c>
      <c r="H168" s="17">
        <v>1000</v>
      </c>
      <c r="I168" s="17">
        <v>2000</v>
      </c>
      <c r="J168" s="17">
        <v>2000000</v>
      </c>
    </row>
    <row r="169" spans="2:10">
      <c r="B169">
        <v>5605</v>
      </c>
      <c r="C169" t="s">
        <v>251</v>
      </c>
      <c r="D169" t="s">
        <v>22</v>
      </c>
      <c r="E169" t="s">
        <v>94</v>
      </c>
      <c r="F169" t="s">
        <v>311</v>
      </c>
      <c r="G169" t="s">
        <v>87</v>
      </c>
      <c r="H169" s="17">
        <v>1000</v>
      </c>
      <c r="I169" s="17">
        <v>2000</v>
      </c>
      <c r="J169" s="17">
        <v>2000000</v>
      </c>
    </row>
    <row r="170" spans="2:10">
      <c r="B170">
        <v>5606</v>
      </c>
      <c r="C170" t="s">
        <v>252</v>
      </c>
      <c r="D170" t="s">
        <v>22</v>
      </c>
      <c r="E170" t="s">
        <v>94</v>
      </c>
      <c r="F170" t="s">
        <v>311</v>
      </c>
      <c r="G170" t="s">
        <v>87</v>
      </c>
      <c r="H170" s="17">
        <v>1000</v>
      </c>
      <c r="I170" s="17">
        <v>2000</v>
      </c>
      <c r="J170" s="17">
        <v>2000000</v>
      </c>
    </row>
    <row r="171" spans="2:10">
      <c r="B171">
        <v>5607</v>
      </c>
      <c r="C171" t="s">
        <v>253</v>
      </c>
      <c r="D171" t="s">
        <v>22</v>
      </c>
      <c r="E171" t="s">
        <v>94</v>
      </c>
      <c r="F171" t="s">
        <v>311</v>
      </c>
      <c r="G171" t="s">
        <v>87</v>
      </c>
      <c r="H171" s="17">
        <v>1000</v>
      </c>
      <c r="I171" s="17">
        <v>2000</v>
      </c>
      <c r="J171" s="17">
        <v>2000000</v>
      </c>
    </row>
    <row r="172" spans="2:10">
      <c r="B172">
        <v>5608</v>
      </c>
      <c r="C172" t="s">
        <v>254</v>
      </c>
      <c r="D172" t="s">
        <v>22</v>
      </c>
      <c r="E172" t="s">
        <v>94</v>
      </c>
      <c r="F172" t="s">
        <v>311</v>
      </c>
      <c r="G172" t="s">
        <v>87</v>
      </c>
      <c r="H172" s="17">
        <v>1000</v>
      </c>
      <c r="I172" s="17">
        <v>2000</v>
      </c>
      <c r="J172" s="17">
        <v>2000000</v>
      </c>
    </row>
    <row r="173" spans="2:10">
      <c r="B173">
        <v>5609</v>
      </c>
      <c r="C173" t="s">
        <v>255</v>
      </c>
      <c r="D173" t="s">
        <v>22</v>
      </c>
      <c r="E173" t="s">
        <v>94</v>
      </c>
      <c r="F173" t="s">
        <v>311</v>
      </c>
      <c r="G173" t="s">
        <v>87</v>
      </c>
      <c r="H173" s="17">
        <v>1000</v>
      </c>
      <c r="I173" s="17">
        <v>2000</v>
      </c>
      <c r="J173" s="17">
        <v>2000000</v>
      </c>
    </row>
    <row r="174" spans="2:10">
      <c r="B174">
        <v>5610</v>
      </c>
      <c r="C174" t="s">
        <v>256</v>
      </c>
      <c r="D174" t="s">
        <v>22</v>
      </c>
      <c r="E174" t="s">
        <v>94</v>
      </c>
      <c r="F174" t="s">
        <v>311</v>
      </c>
      <c r="G174" t="s">
        <v>87</v>
      </c>
      <c r="H174" s="17">
        <v>1000</v>
      </c>
      <c r="I174" s="17">
        <v>2000</v>
      </c>
      <c r="J174" s="17">
        <v>2000000</v>
      </c>
    </row>
    <row r="175" spans="2:10">
      <c r="B175">
        <v>5611</v>
      </c>
      <c r="C175" t="s">
        <v>257</v>
      </c>
      <c r="D175" t="s">
        <v>23</v>
      </c>
      <c r="E175" t="s">
        <v>94</v>
      </c>
      <c r="F175" t="s">
        <v>311</v>
      </c>
      <c r="G175" t="s">
        <v>87</v>
      </c>
      <c r="H175" s="17">
        <v>1000</v>
      </c>
      <c r="I175" s="17">
        <v>2000</v>
      </c>
      <c r="J175" s="17">
        <v>2000000</v>
      </c>
    </row>
    <row r="176" spans="2:10">
      <c r="B176">
        <v>5612</v>
      </c>
      <c r="C176" t="s">
        <v>258</v>
      </c>
      <c r="D176" t="s">
        <v>21</v>
      </c>
      <c r="E176" t="s">
        <v>86</v>
      </c>
      <c r="F176" t="s">
        <v>311</v>
      </c>
      <c r="G176" t="s">
        <v>87</v>
      </c>
      <c r="H176" s="17">
        <v>1000</v>
      </c>
      <c r="I176" s="17">
        <v>2000</v>
      </c>
      <c r="J176" s="17">
        <v>2000000</v>
      </c>
    </row>
    <row r="177" spans="2:10">
      <c r="B177">
        <v>5613</v>
      </c>
      <c r="C177" t="s">
        <v>259</v>
      </c>
      <c r="D177" t="s">
        <v>21</v>
      </c>
      <c r="E177" t="s">
        <v>86</v>
      </c>
      <c r="F177" t="s">
        <v>311</v>
      </c>
      <c r="G177" t="s">
        <v>87</v>
      </c>
      <c r="H177" s="17">
        <v>1000</v>
      </c>
      <c r="I177" s="17">
        <v>2000</v>
      </c>
      <c r="J177" s="17">
        <v>2000000</v>
      </c>
    </row>
    <row r="178" spans="2:10">
      <c r="B178">
        <v>5614</v>
      </c>
      <c r="C178" t="s">
        <v>260</v>
      </c>
      <c r="D178" t="s">
        <v>21</v>
      </c>
      <c r="E178" t="s">
        <v>86</v>
      </c>
      <c r="F178" t="s">
        <v>311</v>
      </c>
      <c r="G178" t="s">
        <v>87</v>
      </c>
      <c r="H178" s="17">
        <v>1000</v>
      </c>
      <c r="I178" s="17">
        <v>2000</v>
      </c>
      <c r="J178" s="17">
        <v>2000000</v>
      </c>
    </row>
    <row r="179" spans="2:10">
      <c r="B179">
        <v>5615</v>
      </c>
      <c r="C179" t="s">
        <v>261</v>
      </c>
      <c r="D179" t="s">
        <v>21</v>
      </c>
      <c r="E179" t="s">
        <v>86</v>
      </c>
      <c r="F179" t="s">
        <v>311</v>
      </c>
      <c r="G179" t="s">
        <v>87</v>
      </c>
      <c r="H179" s="17">
        <v>1000</v>
      </c>
      <c r="I179" s="17">
        <v>2000</v>
      </c>
      <c r="J179" s="17">
        <v>2000000</v>
      </c>
    </row>
    <row r="180" spans="2:10">
      <c r="B180">
        <v>5616</v>
      </c>
      <c r="C180" t="s">
        <v>262</v>
      </c>
      <c r="D180" t="s">
        <v>21</v>
      </c>
      <c r="E180" t="s">
        <v>86</v>
      </c>
      <c r="F180" t="s">
        <v>311</v>
      </c>
      <c r="G180" t="s">
        <v>87</v>
      </c>
      <c r="H180" s="17">
        <v>1000</v>
      </c>
      <c r="I180" s="17">
        <v>2000</v>
      </c>
      <c r="J180" s="17">
        <v>2000000</v>
      </c>
    </row>
    <row r="181" spans="2:10">
      <c r="B181">
        <v>5617</v>
      </c>
      <c r="C181" t="s">
        <v>263</v>
      </c>
      <c r="D181" t="s">
        <v>21</v>
      </c>
      <c r="E181" t="s">
        <v>86</v>
      </c>
      <c r="F181" t="s">
        <v>311</v>
      </c>
      <c r="G181" t="s">
        <v>87</v>
      </c>
      <c r="H181" s="17">
        <v>1000</v>
      </c>
      <c r="I181" s="17">
        <v>2000</v>
      </c>
      <c r="J181" s="17">
        <v>2000000</v>
      </c>
    </row>
    <row r="182" spans="2:10">
      <c r="B182">
        <v>5618</v>
      </c>
      <c r="C182" t="s">
        <v>264</v>
      </c>
      <c r="D182" t="s">
        <v>21</v>
      </c>
      <c r="E182" t="s">
        <v>86</v>
      </c>
      <c r="F182" t="s">
        <v>311</v>
      </c>
      <c r="G182" t="s">
        <v>87</v>
      </c>
      <c r="H182" s="17">
        <v>1000</v>
      </c>
      <c r="I182" s="17">
        <v>2000</v>
      </c>
      <c r="J182" s="17">
        <v>2000000</v>
      </c>
    </row>
    <row r="183" spans="2:10">
      <c r="B183">
        <v>5619</v>
      </c>
      <c r="C183" t="s">
        <v>265</v>
      </c>
      <c r="D183" t="s">
        <v>21</v>
      </c>
      <c r="E183" t="s">
        <v>86</v>
      </c>
      <c r="F183" t="s">
        <v>311</v>
      </c>
      <c r="G183" t="s">
        <v>87</v>
      </c>
      <c r="H183" s="17">
        <v>1000</v>
      </c>
      <c r="I183" s="17">
        <v>2000</v>
      </c>
      <c r="J183" s="17">
        <v>2000000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2E860-102A-4F6A-887E-F0AFE04DF23E}">
  <sheetPr codeName="dstSheet"/>
  <dimension ref="A1:K183"/>
  <sheetViews>
    <sheetView showGridLines="0" tabSelected="1" topLeftCell="B1" zoomScaleNormal="100" workbookViewId="0">
      <pane ySplit="3" topLeftCell="A4" activePane="bottomLeft" state="frozen"/>
      <selection activeCell="B1" sqref="B1"/>
      <selection pane="bottomLeft" activeCell="G7" sqref="G7"/>
    </sheetView>
  </sheetViews>
  <sheetFormatPr defaultRowHeight="15.75"/>
  <cols>
    <col min="1" max="1" width="5" hidden="1" customWidth="1"/>
    <col min="2" max="2" width="5.5546875" hidden="1" customWidth="1"/>
    <col min="3" max="3" width="8.44140625" style="1" bestFit="1" customWidth="1"/>
    <col min="4" max="5" width="10.109375" style="1" bestFit="1" customWidth="1"/>
    <col min="6" max="6" width="9.5546875" style="1" bestFit="1" customWidth="1"/>
    <col min="7" max="7" width="10.109375" style="62" bestFit="1" customWidth="1"/>
    <col min="8" max="8" width="8.44140625" style="1" bestFit="1" customWidth="1"/>
    <col min="9" max="9" width="8.44140625" style="23" bestFit="1" customWidth="1"/>
    <col min="10" max="10" width="11.77734375" style="23" bestFit="1" customWidth="1"/>
  </cols>
  <sheetData>
    <row r="1" spans="1:11">
      <c r="C1" s="19" t="s">
        <v>17</v>
      </c>
      <c r="D1" s="18" t="str">
        <f>Code1</f>
        <v>26A</v>
      </c>
      <c r="E1" s="29" t="s">
        <v>18</v>
      </c>
      <c r="F1" s="18" t="str">
        <f>Code2</f>
        <v>80000300</v>
      </c>
      <c r="G1" s="58" t="s">
        <v>285</v>
      </c>
      <c r="H1" s="20"/>
      <c r="I1" s="20"/>
      <c r="J1" s="27"/>
    </row>
    <row r="2" spans="1:11">
      <c r="C2" s="29" t="s">
        <v>80</v>
      </c>
      <c r="D2" s="20" t="str">
        <f>YOTEI</f>
        <v>2023/04</v>
      </c>
      <c r="E2" s="33"/>
      <c r="F2" s="31"/>
      <c r="G2" s="59"/>
      <c r="H2" s="32"/>
      <c r="I2" s="30" t="s">
        <v>81</v>
      </c>
      <c r="J2" s="27">
        <f>SUBTOTAL(9,S40_結果画面[[#All],[金額]])</f>
        <v>360000000</v>
      </c>
      <c r="K2" t="s">
        <v>286</v>
      </c>
    </row>
    <row r="3" spans="1:11">
      <c r="A3" s="24" t="s">
        <v>79</v>
      </c>
      <c r="B3" s="24" t="s">
        <v>282</v>
      </c>
      <c r="C3" s="22" t="s">
        <v>1</v>
      </c>
      <c r="D3" s="22" t="s">
        <v>19</v>
      </c>
      <c r="E3" s="22" t="s">
        <v>0</v>
      </c>
      <c r="F3" s="28" t="s">
        <v>276</v>
      </c>
      <c r="G3" s="69" t="s">
        <v>80</v>
      </c>
      <c r="H3" s="21" t="s">
        <v>266</v>
      </c>
      <c r="I3" s="25" t="s">
        <v>274</v>
      </c>
      <c r="J3" s="25" t="s">
        <v>279</v>
      </c>
      <c r="K3" s="25" t="s">
        <v>8</v>
      </c>
    </row>
    <row r="4" spans="1:11" s="52" customFormat="1">
      <c r="A4" s="49">
        <v>4</v>
      </c>
      <c r="B4" s="49">
        <v>5440</v>
      </c>
      <c r="C4" s="50" t="s">
        <v>307</v>
      </c>
      <c r="D4" s="50" t="s">
        <v>21</v>
      </c>
      <c r="E4" s="51" t="s">
        <v>86</v>
      </c>
      <c r="F4" s="50" t="s">
        <v>311</v>
      </c>
      <c r="G4" s="70" t="s">
        <v>87</v>
      </c>
      <c r="H4" s="67">
        <v>1000</v>
      </c>
      <c r="I4" s="26">
        <v>2000</v>
      </c>
      <c r="J4" s="26">
        <v>2000000</v>
      </c>
      <c r="K4" s="49"/>
    </row>
    <row r="5" spans="1:11">
      <c r="A5" s="53">
        <v>5</v>
      </c>
      <c r="B5" s="53">
        <v>5441</v>
      </c>
      <c r="C5" s="50" t="s">
        <v>308</v>
      </c>
      <c r="D5" s="50" t="s">
        <v>21</v>
      </c>
      <c r="E5" s="51" t="s">
        <v>86</v>
      </c>
      <c r="F5" s="50" t="s">
        <v>311</v>
      </c>
      <c r="G5" s="60" t="s">
        <v>87</v>
      </c>
      <c r="H5" s="67">
        <v>1000</v>
      </c>
      <c r="I5" s="63">
        <v>2000</v>
      </c>
      <c r="J5" s="26">
        <v>2000000</v>
      </c>
      <c r="K5" s="64"/>
    </row>
    <row r="6" spans="1:11">
      <c r="A6" s="53">
        <v>6</v>
      </c>
      <c r="B6" s="53">
        <v>5442</v>
      </c>
      <c r="C6" s="50" t="s">
        <v>309</v>
      </c>
      <c r="D6" s="50" t="s">
        <v>22</v>
      </c>
      <c r="E6" s="51" t="s">
        <v>86</v>
      </c>
      <c r="F6" s="50" t="s">
        <v>311</v>
      </c>
      <c r="G6" s="60" t="s">
        <v>87</v>
      </c>
      <c r="H6" s="67">
        <v>1000</v>
      </c>
      <c r="I6" s="63">
        <v>2000</v>
      </c>
      <c r="J6" s="26">
        <v>2000000</v>
      </c>
      <c r="K6" s="64"/>
    </row>
    <row r="7" spans="1:11">
      <c r="A7" s="53">
        <v>7</v>
      </c>
      <c r="B7" s="53">
        <v>5443</v>
      </c>
      <c r="C7" s="50" t="s">
        <v>310</v>
      </c>
      <c r="D7" s="50" t="s">
        <v>22</v>
      </c>
      <c r="E7" s="51" t="s">
        <v>86</v>
      </c>
      <c r="F7" s="50" t="s">
        <v>311</v>
      </c>
      <c r="G7" s="60" t="s">
        <v>87</v>
      </c>
      <c r="H7" s="67">
        <v>1000</v>
      </c>
      <c r="I7" s="63">
        <v>2000</v>
      </c>
      <c r="J7" s="26">
        <v>2000000</v>
      </c>
      <c r="K7" s="64"/>
    </row>
    <row r="8" spans="1:11">
      <c r="A8" s="53">
        <v>8</v>
      </c>
      <c r="B8" s="53">
        <v>5444</v>
      </c>
      <c r="C8" s="50" t="s">
        <v>88</v>
      </c>
      <c r="D8" s="50" t="s">
        <v>22</v>
      </c>
      <c r="E8" s="51" t="s">
        <v>86</v>
      </c>
      <c r="F8" s="50" t="s">
        <v>311</v>
      </c>
      <c r="G8" s="60" t="s">
        <v>87</v>
      </c>
      <c r="H8" s="67">
        <v>1000</v>
      </c>
      <c r="I8" s="63">
        <v>2000</v>
      </c>
      <c r="J8" s="26">
        <v>2000000</v>
      </c>
      <c r="K8" s="64"/>
    </row>
    <row r="9" spans="1:11">
      <c r="A9" s="53">
        <v>9</v>
      </c>
      <c r="B9" s="53">
        <v>5445</v>
      </c>
      <c r="C9" s="50" t="s">
        <v>89</v>
      </c>
      <c r="D9" s="50" t="s">
        <v>22</v>
      </c>
      <c r="E9" s="51" t="s">
        <v>86</v>
      </c>
      <c r="F9" s="50" t="s">
        <v>311</v>
      </c>
      <c r="G9" s="60" t="s">
        <v>87</v>
      </c>
      <c r="H9" s="67">
        <v>1000</v>
      </c>
      <c r="I9" s="63">
        <v>2000</v>
      </c>
      <c r="J9" s="26">
        <v>2000000</v>
      </c>
      <c r="K9" s="64"/>
    </row>
    <row r="10" spans="1:11">
      <c r="A10" s="53">
        <v>10</v>
      </c>
      <c r="B10" s="53">
        <v>5446</v>
      </c>
      <c r="C10" s="50" t="s">
        <v>90</v>
      </c>
      <c r="D10" s="50" t="s">
        <v>22</v>
      </c>
      <c r="E10" s="51" t="s">
        <v>86</v>
      </c>
      <c r="F10" s="50" t="s">
        <v>311</v>
      </c>
      <c r="G10" s="60" t="s">
        <v>87</v>
      </c>
      <c r="H10" s="67">
        <v>1000</v>
      </c>
      <c r="I10" s="63">
        <v>2000</v>
      </c>
      <c r="J10" s="26">
        <v>2000000</v>
      </c>
      <c r="K10" s="64"/>
    </row>
    <row r="11" spans="1:11">
      <c r="A11" s="53">
        <v>11</v>
      </c>
      <c r="B11" s="53">
        <v>5447</v>
      </c>
      <c r="C11" s="50" t="s">
        <v>91</v>
      </c>
      <c r="D11" s="50" t="s">
        <v>22</v>
      </c>
      <c r="E11" s="51" t="s">
        <v>86</v>
      </c>
      <c r="F11" s="50" t="s">
        <v>311</v>
      </c>
      <c r="G11" s="60" t="s">
        <v>87</v>
      </c>
      <c r="H11" s="67">
        <v>1000</v>
      </c>
      <c r="I11" s="63">
        <v>2000</v>
      </c>
      <c r="J11" s="26">
        <v>2000000</v>
      </c>
      <c r="K11" s="64"/>
    </row>
    <row r="12" spans="1:11">
      <c r="A12" s="53">
        <v>12</v>
      </c>
      <c r="B12" s="53">
        <v>5448</v>
      </c>
      <c r="C12" s="50" t="s">
        <v>92</v>
      </c>
      <c r="D12" s="50" t="s">
        <v>22</v>
      </c>
      <c r="E12" s="51" t="s">
        <v>86</v>
      </c>
      <c r="F12" s="50" t="s">
        <v>311</v>
      </c>
      <c r="G12" s="60" t="s">
        <v>87</v>
      </c>
      <c r="H12" s="67">
        <v>1000</v>
      </c>
      <c r="I12" s="63">
        <v>2000</v>
      </c>
      <c r="J12" s="26">
        <v>2000000</v>
      </c>
      <c r="K12" s="64"/>
    </row>
    <row r="13" spans="1:11">
      <c r="A13" s="53">
        <v>13</v>
      </c>
      <c r="B13" s="53">
        <v>5449</v>
      </c>
      <c r="C13" s="50" t="s">
        <v>93</v>
      </c>
      <c r="D13" s="50" t="s">
        <v>23</v>
      </c>
      <c r="E13" s="51" t="s">
        <v>94</v>
      </c>
      <c r="F13" s="50" t="s">
        <v>311</v>
      </c>
      <c r="G13" s="60" t="s">
        <v>87</v>
      </c>
      <c r="H13" s="67">
        <v>1000</v>
      </c>
      <c r="I13" s="63">
        <v>2000</v>
      </c>
      <c r="J13" s="26">
        <v>2000000</v>
      </c>
      <c r="K13" s="64"/>
    </row>
    <row r="14" spans="1:11">
      <c r="A14" s="53">
        <v>14</v>
      </c>
      <c r="B14" s="53">
        <v>5450</v>
      </c>
      <c r="C14" s="50" t="s">
        <v>95</v>
      </c>
      <c r="D14" s="50" t="s">
        <v>23</v>
      </c>
      <c r="E14" s="51" t="s">
        <v>94</v>
      </c>
      <c r="F14" s="50" t="s">
        <v>311</v>
      </c>
      <c r="G14" s="60" t="s">
        <v>87</v>
      </c>
      <c r="H14" s="67">
        <v>1000</v>
      </c>
      <c r="I14" s="63">
        <v>2000</v>
      </c>
      <c r="J14" s="26">
        <v>2000000</v>
      </c>
      <c r="K14" s="64"/>
    </row>
    <row r="15" spans="1:11">
      <c r="A15" s="53">
        <v>15</v>
      </c>
      <c r="B15" s="53">
        <v>5451</v>
      </c>
      <c r="C15" s="50" t="s">
        <v>96</v>
      </c>
      <c r="D15" s="50" t="s">
        <v>23</v>
      </c>
      <c r="E15" s="51" t="s">
        <v>94</v>
      </c>
      <c r="F15" s="50" t="s">
        <v>311</v>
      </c>
      <c r="G15" s="60" t="s">
        <v>87</v>
      </c>
      <c r="H15" s="67">
        <v>1000</v>
      </c>
      <c r="I15" s="63">
        <v>2000</v>
      </c>
      <c r="J15" s="26">
        <v>2000000</v>
      </c>
      <c r="K15" s="64"/>
    </row>
    <row r="16" spans="1:11">
      <c r="A16" s="53">
        <v>16</v>
      </c>
      <c r="B16" s="53">
        <v>5452</v>
      </c>
      <c r="C16" s="50" t="s">
        <v>97</v>
      </c>
      <c r="D16" s="50" t="s">
        <v>23</v>
      </c>
      <c r="E16" s="51" t="s">
        <v>94</v>
      </c>
      <c r="F16" s="50" t="s">
        <v>311</v>
      </c>
      <c r="G16" s="60" t="s">
        <v>87</v>
      </c>
      <c r="H16" s="67">
        <v>1000</v>
      </c>
      <c r="I16" s="63">
        <v>2000</v>
      </c>
      <c r="J16" s="26">
        <v>2000000</v>
      </c>
      <c r="K16" s="64"/>
    </row>
    <row r="17" spans="1:11">
      <c r="A17" s="53">
        <v>17</v>
      </c>
      <c r="B17" s="53">
        <v>5453</v>
      </c>
      <c r="C17" s="50" t="s">
        <v>98</v>
      </c>
      <c r="D17" s="50" t="s">
        <v>23</v>
      </c>
      <c r="E17" s="51" t="s">
        <v>94</v>
      </c>
      <c r="F17" s="50" t="s">
        <v>311</v>
      </c>
      <c r="G17" s="60" t="s">
        <v>87</v>
      </c>
      <c r="H17" s="67">
        <v>1000</v>
      </c>
      <c r="I17" s="63">
        <v>2000</v>
      </c>
      <c r="J17" s="26">
        <v>2000000</v>
      </c>
      <c r="K17" s="64"/>
    </row>
    <row r="18" spans="1:11">
      <c r="A18" s="53">
        <v>18</v>
      </c>
      <c r="B18" s="53">
        <v>5454</v>
      </c>
      <c r="C18" s="50" t="s">
        <v>99</v>
      </c>
      <c r="D18" s="50" t="s">
        <v>23</v>
      </c>
      <c r="E18" s="51" t="s">
        <v>94</v>
      </c>
      <c r="F18" s="50" t="s">
        <v>311</v>
      </c>
      <c r="G18" s="60" t="s">
        <v>87</v>
      </c>
      <c r="H18" s="67">
        <v>1000</v>
      </c>
      <c r="I18" s="63">
        <v>2000</v>
      </c>
      <c r="J18" s="26">
        <v>2000000</v>
      </c>
      <c r="K18" s="64"/>
    </row>
    <row r="19" spans="1:11">
      <c r="A19" s="53">
        <v>19</v>
      </c>
      <c r="B19" s="53">
        <v>5455</v>
      </c>
      <c r="C19" s="50" t="s">
        <v>100</v>
      </c>
      <c r="D19" s="50" t="s">
        <v>23</v>
      </c>
      <c r="E19" s="51" t="s">
        <v>94</v>
      </c>
      <c r="F19" s="50" t="s">
        <v>311</v>
      </c>
      <c r="G19" s="60" t="s">
        <v>87</v>
      </c>
      <c r="H19" s="67">
        <v>1000</v>
      </c>
      <c r="I19" s="63">
        <v>2000</v>
      </c>
      <c r="J19" s="26">
        <v>2000000</v>
      </c>
      <c r="K19" s="64"/>
    </row>
    <row r="20" spans="1:11">
      <c r="A20" s="53">
        <v>20</v>
      </c>
      <c r="B20" s="53">
        <v>5456</v>
      </c>
      <c r="C20" s="50" t="s">
        <v>101</v>
      </c>
      <c r="D20" s="50" t="s">
        <v>23</v>
      </c>
      <c r="E20" s="51" t="s">
        <v>94</v>
      </c>
      <c r="F20" s="50" t="s">
        <v>311</v>
      </c>
      <c r="G20" s="60" t="s">
        <v>87</v>
      </c>
      <c r="H20" s="67">
        <v>1000</v>
      </c>
      <c r="I20" s="63">
        <v>2000</v>
      </c>
      <c r="J20" s="26">
        <v>2000000</v>
      </c>
      <c r="K20" s="64"/>
    </row>
    <row r="21" spans="1:11">
      <c r="A21" s="53">
        <v>21</v>
      </c>
      <c r="B21" s="53">
        <v>5457</v>
      </c>
      <c r="C21" s="50" t="s">
        <v>102</v>
      </c>
      <c r="D21" s="50" t="s">
        <v>23</v>
      </c>
      <c r="E21" s="51" t="s">
        <v>94</v>
      </c>
      <c r="F21" s="50" t="s">
        <v>311</v>
      </c>
      <c r="G21" s="60" t="s">
        <v>87</v>
      </c>
      <c r="H21" s="67">
        <v>1000</v>
      </c>
      <c r="I21" s="63">
        <v>2000</v>
      </c>
      <c r="J21" s="26">
        <v>2000000</v>
      </c>
      <c r="K21" s="64"/>
    </row>
    <row r="22" spans="1:11">
      <c r="A22" s="53">
        <v>22</v>
      </c>
      <c r="B22" s="53">
        <v>5458</v>
      </c>
      <c r="C22" s="50" t="s">
        <v>103</v>
      </c>
      <c r="D22" s="50" t="s">
        <v>24</v>
      </c>
      <c r="E22" s="51" t="s">
        <v>94</v>
      </c>
      <c r="F22" s="50" t="s">
        <v>311</v>
      </c>
      <c r="G22" s="60" t="s">
        <v>87</v>
      </c>
      <c r="H22" s="67">
        <v>1000</v>
      </c>
      <c r="I22" s="63">
        <v>2000</v>
      </c>
      <c r="J22" s="26">
        <v>2000000</v>
      </c>
      <c r="K22" s="64"/>
    </row>
    <row r="23" spans="1:11">
      <c r="A23" s="53">
        <v>23</v>
      </c>
      <c r="B23" s="53">
        <v>5459</v>
      </c>
      <c r="C23" s="50" t="s">
        <v>104</v>
      </c>
      <c r="D23" s="50" t="s">
        <v>24</v>
      </c>
      <c r="E23" s="51" t="s">
        <v>94</v>
      </c>
      <c r="F23" s="50" t="s">
        <v>311</v>
      </c>
      <c r="G23" s="60" t="s">
        <v>87</v>
      </c>
      <c r="H23" s="67">
        <v>1000</v>
      </c>
      <c r="I23" s="63">
        <v>2000</v>
      </c>
      <c r="J23" s="26">
        <v>2000000</v>
      </c>
      <c r="K23" s="64"/>
    </row>
    <row r="24" spans="1:11">
      <c r="A24" s="53">
        <v>24</v>
      </c>
      <c r="B24" s="53">
        <v>5460</v>
      </c>
      <c r="C24" s="50" t="s">
        <v>105</v>
      </c>
      <c r="D24" s="50" t="s">
        <v>24</v>
      </c>
      <c r="E24" s="51" t="s">
        <v>94</v>
      </c>
      <c r="F24" s="50" t="s">
        <v>311</v>
      </c>
      <c r="G24" s="60" t="s">
        <v>87</v>
      </c>
      <c r="H24" s="67">
        <v>1000</v>
      </c>
      <c r="I24" s="63">
        <v>2000</v>
      </c>
      <c r="J24" s="26">
        <v>2000000</v>
      </c>
      <c r="K24" s="64"/>
    </row>
    <row r="25" spans="1:11">
      <c r="A25" s="53">
        <v>25</v>
      </c>
      <c r="B25" s="53">
        <v>5461</v>
      </c>
      <c r="C25" s="50" t="s">
        <v>106</v>
      </c>
      <c r="D25" s="50" t="s">
        <v>24</v>
      </c>
      <c r="E25" s="51" t="s">
        <v>94</v>
      </c>
      <c r="F25" s="50" t="s">
        <v>311</v>
      </c>
      <c r="G25" s="60" t="s">
        <v>87</v>
      </c>
      <c r="H25" s="67">
        <v>1000</v>
      </c>
      <c r="I25" s="63">
        <v>2000</v>
      </c>
      <c r="J25" s="26">
        <v>2000000</v>
      </c>
      <c r="K25" s="64"/>
    </row>
    <row r="26" spans="1:11">
      <c r="A26" s="53">
        <v>26</v>
      </c>
      <c r="B26" s="53">
        <v>5462</v>
      </c>
      <c r="C26" s="50" t="s">
        <v>107</v>
      </c>
      <c r="D26" s="50" t="s">
        <v>24</v>
      </c>
      <c r="E26" s="51" t="s">
        <v>94</v>
      </c>
      <c r="F26" s="50" t="s">
        <v>311</v>
      </c>
      <c r="G26" s="60" t="s">
        <v>87</v>
      </c>
      <c r="H26" s="67">
        <v>1000</v>
      </c>
      <c r="I26" s="63">
        <v>2000</v>
      </c>
      <c r="J26" s="26">
        <v>2000000</v>
      </c>
      <c r="K26" s="64"/>
    </row>
    <row r="27" spans="1:11">
      <c r="A27" s="53">
        <v>27</v>
      </c>
      <c r="B27" s="53">
        <v>5463</v>
      </c>
      <c r="C27" s="50" t="s">
        <v>108</v>
      </c>
      <c r="D27" s="50" t="s">
        <v>24</v>
      </c>
      <c r="E27" s="51" t="s">
        <v>94</v>
      </c>
      <c r="F27" s="50" t="s">
        <v>311</v>
      </c>
      <c r="G27" s="60" t="s">
        <v>87</v>
      </c>
      <c r="H27" s="67">
        <v>1000</v>
      </c>
      <c r="I27" s="63">
        <v>2000</v>
      </c>
      <c r="J27" s="26">
        <v>2000000</v>
      </c>
      <c r="K27" s="64"/>
    </row>
    <row r="28" spans="1:11">
      <c r="A28" s="53">
        <v>28</v>
      </c>
      <c r="B28" s="53">
        <v>5464</v>
      </c>
      <c r="C28" s="50" t="s">
        <v>109</v>
      </c>
      <c r="D28" s="50" t="s">
        <v>24</v>
      </c>
      <c r="E28" s="51" t="s">
        <v>94</v>
      </c>
      <c r="F28" s="50" t="s">
        <v>311</v>
      </c>
      <c r="G28" s="60" t="s">
        <v>87</v>
      </c>
      <c r="H28" s="67">
        <v>1000</v>
      </c>
      <c r="I28" s="63">
        <v>2000</v>
      </c>
      <c r="J28" s="26">
        <v>2000000</v>
      </c>
      <c r="K28" s="64"/>
    </row>
    <row r="29" spans="1:11">
      <c r="A29" s="53">
        <v>29</v>
      </c>
      <c r="B29" s="53">
        <v>5465</v>
      </c>
      <c r="C29" s="50" t="s">
        <v>110</v>
      </c>
      <c r="D29" s="50" t="s">
        <v>24</v>
      </c>
      <c r="E29" s="51" t="s">
        <v>94</v>
      </c>
      <c r="F29" s="50" t="s">
        <v>311</v>
      </c>
      <c r="G29" s="60" t="s">
        <v>87</v>
      </c>
      <c r="H29" s="67">
        <v>1000</v>
      </c>
      <c r="I29" s="63">
        <v>2000</v>
      </c>
      <c r="J29" s="26">
        <v>2000000</v>
      </c>
      <c r="K29" s="64"/>
    </row>
    <row r="30" spans="1:11">
      <c r="A30" s="53">
        <v>30</v>
      </c>
      <c r="B30" s="53">
        <v>5466</v>
      </c>
      <c r="C30" s="50" t="s">
        <v>111</v>
      </c>
      <c r="D30" s="50" t="s">
        <v>24</v>
      </c>
      <c r="E30" s="51" t="s">
        <v>94</v>
      </c>
      <c r="F30" s="50" t="s">
        <v>311</v>
      </c>
      <c r="G30" s="60" t="s">
        <v>87</v>
      </c>
      <c r="H30" s="67">
        <v>1000</v>
      </c>
      <c r="I30" s="63">
        <v>2000</v>
      </c>
      <c r="J30" s="26">
        <v>2000000</v>
      </c>
      <c r="K30" s="64"/>
    </row>
    <row r="31" spans="1:11">
      <c r="A31" s="53">
        <v>31</v>
      </c>
      <c r="B31" s="53">
        <v>5467</v>
      </c>
      <c r="C31" s="50" t="s">
        <v>112</v>
      </c>
      <c r="D31" s="50" t="s">
        <v>24</v>
      </c>
      <c r="E31" s="51" t="s">
        <v>94</v>
      </c>
      <c r="F31" s="50" t="s">
        <v>311</v>
      </c>
      <c r="G31" s="60" t="s">
        <v>87</v>
      </c>
      <c r="H31" s="67">
        <v>1000</v>
      </c>
      <c r="I31" s="63">
        <v>2000</v>
      </c>
      <c r="J31" s="26">
        <v>2000000</v>
      </c>
      <c r="K31" s="64"/>
    </row>
    <row r="32" spans="1:11">
      <c r="A32" s="53">
        <v>32</v>
      </c>
      <c r="B32" s="53">
        <v>5468</v>
      </c>
      <c r="C32" s="50" t="s">
        <v>113</v>
      </c>
      <c r="D32" s="50" t="s">
        <v>25</v>
      </c>
      <c r="E32" s="51" t="s">
        <v>94</v>
      </c>
      <c r="F32" s="50" t="s">
        <v>311</v>
      </c>
      <c r="G32" s="60" t="s">
        <v>87</v>
      </c>
      <c r="H32" s="67">
        <v>1000</v>
      </c>
      <c r="I32" s="63">
        <v>2000</v>
      </c>
      <c r="J32" s="26">
        <v>2000000</v>
      </c>
      <c r="K32" s="64"/>
    </row>
    <row r="33" spans="1:11">
      <c r="A33" s="53">
        <v>33</v>
      </c>
      <c r="B33" s="53">
        <v>5469</v>
      </c>
      <c r="C33" s="50" t="s">
        <v>114</v>
      </c>
      <c r="D33" s="50" t="s">
        <v>25</v>
      </c>
      <c r="E33" s="51" t="s">
        <v>94</v>
      </c>
      <c r="F33" s="50" t="s">
        <v>311</v>
      </c>
      <c r="G33" s="60" t="s">
        <v>87</v>
      </c>
      <c r="H33" s="67">
        <v>1000</v>
      </c>
      <c r="I33" s="63">
        <v>2000</v>
      </c>
      <c r="J33" s="26">
        <v>2000000</v>
      </c>
      <c r="K33" s="64"/>
    </row>
    <row r="34" spans="1:11">
      <c r="A34" s="53">
        <v>34</v>
      </c>
      <c r="B34" s="53">
        <v>5470</v>
      </c>
      <c r="C34" s="50" t="s">
        <v>115</v>
      </c>
      <c r="D34" s="50" t="s">
        <v>25</v>
      </c>
      <c r="E34" s="51" t="s">
        <v>94</v>
      </c>
      <c r="F34" s="50" t="s">
        <v>311</v>
      </c>
      <c r="G34" s="60" t="s">
        <v>87</v>
      </c>
      <c r="H34" s="67">
        <v>1000</v>
      </c>
      <c r="I34" s="63">
        <v>2000</v>
      </c>
      <c r="J34" s="26">
        <v>2000000</v>
      </c>
      <c r="K34" s="64"/>
    </row>
    <row r="35" spans="1:11">
      <c r="A35" s="53">
        <v>35</v>
      </c>
      <c r="B35" s="53">
        <v>5471</v>
      </c>
      <c r="C35" s="50" t="s">
        <v>116</v>
      </c>
      <c r="D35" s="50" t="s">
        <v>25</v>
      </c>
      <c r="E35" s="51" t="s">
        <v>94</v>
      </c>
      <c r="F35" s="50" t="s">
        <v>311</v>
      </c>
      <c r="G35" s="60" t="s">
        <v>87</v>
      </c>
      <c r="H35" s="67">
        <v>1000</v>
      </c>
      <c r="I35" s="63">
        <v>2000</v>
      </c>
      <c r="J35" s="26">
        <v>2000000</v>
      </c>
      <c r="K35" s="64"/>
    </row>
    <row r="36" spans="1:11">
      <c r="A36" s="53">
        <v>36</v>
      </c>
      <c r="B36" s="53">
        <v>5472</v>
      </c>
      <c r="C36" s="50" t="s">
        <v>117</v>
      </c>
      <c r="D36" s="50" t="s">
        <v>25</v>
      </c>
      <c r="E36" s="51" t="s">
        <v>94</v>
      </c>
      <c r="F36" s="50" t="s">
        <v>311</v>
      </c>
      <c r="G36" s="60" t="s">
        <v>87</v>
      </c>
      <c r="H36" s="67">
        <v>1000</v>
      </c>
      <c r="I36" s="63">
        <v>2000</v>
      </c>
      <c r="J36" s="26">
        <v>2000000</v>
      </c>
      <c r="K36" s="64"/>
    </row>
    <row r="37" spans="1:11">
      <c r="A37" s="53">
        <v>37</v>
      </c>
      <c r="B37" s="53">
        <v>5473</v>
      </c>
      <c r="C37" s="50" t="s">
        <v>118</v>
      </c>
      <c r="D37" s="50" t="s">
        <v>25</v>
      </c>
      <c r="E37" s="51" t="s">
        <v>94</v>
      </c>
      <c r="F37" s="50" t="s">
        <v>311</v>
      </c>
      <c r="G37" s="60" t="s">
        <v>87</v>
      </c>
      <c r="H37" s="67">
        <v>1000</v>
      </c>
      <c r="I37" s="63">
        <v>2000</v>
      </c>
      <c r="J37" s="26">
        <v>2000000</v>
      </c>
      <c r="K37" s="64"/>
    </row>
    <row r="38" spans="1:11">
      <c r="A38" s="53">
        <v>38</v>
      </c>
      <c r="B38" s="53">
        <v>5474</v>
      </c>
      <c r="C38" s="50" t="s">
        <v>119</v>
      </c>
      <c r="D38" s="50" t="s">
        <v>25</v>
      </c>
      <c r="E38" s="51" t="s">
        <v>94</v>
      </c>
      <c r="F38" s="50" t="s">
        <v>311</v>
      </c>
      <c r="G38" s="60" t="s">
        <v>87</v>
      </c>
      <c r="H38" s="67">
        <v>1000</v>
      </c>
      <c r="I38" s="63">
        <v>2000</v>
      </c>
      <c r="J38" s="26">
        <v>2000000</v>
      </c>
      <c r="K38" s="64"/>
    </row>
    <row r="39" spans="1:11">
      <c r="A39" s="53">
        <v>39</v>
      </c>
      <c r="B39" s="53">
        <v>5475</v>
      </c>
      <c r="C39" s="50" t="s">
        <v>120</v>
      </c>
      <c r="D39" s="50" t="s">
        <v>25</v>
      </c>
      <c r="E39" s="51" t="s">
        <v>94</v>
      </c>
      <c r="F39" s="50" t="s">
        <v>311</v>
      </c>
      <c r="G39" s="60" t="s">
        <v>87</v>
      </c>
      <c r="H39" s="67">
        <v>1000</v>
      </c>
      <c r="I39" s="63">
        <v>2000</v>
      </c>
      <c r="J39" s="26">
        <v>2000000</v>
      </c>
      <c r="K39" s="64"/>
    </row>
    <row r="40" spans="1:11">
      <c r="A40" s="53">
        <v>40</v>
      </c>
      <c r="B40" s="53">
        <v>5476</v>
      </c>
      <c r="C40" s="50" t="s">
        <v>121</v>
      </c>
      <c r="D40" s="50" t="s">
        <v>25</v>
      </c>
      <c r="E40" s="51" t="s">
        <v>94</v>
      </c>
      <c r="F40" s="50" t="s">
        <v>311</v>
      </c>
      <c r="G40" s="60" t="s">
        <v>87</v>
      </c>
      <c r="H40" s="67">
        <v>1000</v>
      </c>
      <c r="I40" s="63">
        <v>2000</v>
      </c>
      <c r="J40" s="26">
        <v>2000000</v>
      </c>
      <c r="K40" s="64"/>
    </row>
    <row r="41" spans="1:11">
      <c r="A41" s="53">
        <v>41</v>
      </c>
      <c r="B41" s="53">
        <v>5477</v>
      </c>
      <c r="C41" s="50" t="s">
        <v>122</v>
      </c>
      <c r="D41" s="50" t="s">
        <v>25</v>
      </c>
      <c r="E41" s="51" t="s">
        <v>94</v>
      </c>
      <c r="F41" s="50" t="s">
        <v>311</v>
      </c>
      <c r="G41" s="60" t="s">
        <v>87</v>
      </c>
      <c r="H41" s="67">
        <v>1000</v>
      </c>
      <c r="I41" s="63">
        <v>2000</v>
      </c>
      <c r="J41" s="26">
        <v>2000000</v>
      </c>
      <c r="K41" s="64"/>
    </row>
    <row r="42" spans="1:11">
      <c r="A42" s="53">
        <v>42</v>
      </c>
      <c r="B42" s="53">
        <v>5478</v>
      </c>
      <c r="C42" s="50" t="s">
        <v>123</v>
      </c>
      <c r="D42" s="50" t="s">
        <v>26</v>
      </c>
      <c r="E42" s="51" t="s">
        <v>94</v>
      </c>
      <c r="F42" s="50" t="s">
        <v>311</v>
      </c>
      <c r="G42" s="60" t="s">
        <v>87</v>
      </c>
      <c r="H42" s="67">
        <v>1000</v>
      </c>
      <c r="I42" s="63">
        <v>2000</v>
      </c>
      <c r="J42" s="26">
        <v>2000000</v>
      </c>
      <c r="K42" s="64"/>
    </row>
    <row r="43" spans="1:11">
      <c r="A43" s="53">
        <v>43</v>
      </c>
      <c r="B43" s="53">
        <v>5479</v>
      </c>
      <c r="C43" s="50" t="s">
        <v>124</v>
      </c>
      <c r="D43" s="50" t="s">
        <v>26</v>
      </c>
      <c r="E43" s="51" t="s">
        <v>94</v>
      </c>
      <c r="F43" s="50" t="s">
        <v>311</v>
      </c>
      <c r="G43" s="60" t="s">
        <v>87</v>
      </c>
      <c r="H43" s="67">
        <v>1000</v>
      </c>
      <c r="I43" s="63">
        <v>2000</v>
      </c>
      <c r="J43" s="26">
        <v>2000000</v>
      </c>
      <c r="K43" s="64"/>
    </row>
    <row r="44" spans="1:11">
      <c r="A44" s="53">
        <v>44</v>
      </c>
      <c r="B44" s="53">
        <v>5480</v>
      </c>
      <c r="C44" s="50" t="s">
        <v>125</v>
      </c>
      <c r="D44" s="50" t="s">
        <v>26</v>
      </c>
      <c r="E44" s="51" t="s">
        <v>94</v>
      </c>
      <c r="F44" s="50" t="s">
        <v>311</v>
      </c>
      <c r="G44" s="60" t="s">
        <v>87</v>
      </c>
      <c r="H44" s="67">
        <v>1000</v>
      </c>
      <c r="I44" s="63">
        <v>2000</v>
      </c>
      <c r="J44" s="26">
        <v>2000000</v>
      </c>
      <c r="K44" s="64"/>
    </row>
    <row r="45" spans="1:11">
      <c r="A45" s="53">
        <v>45</v>
      </c>
      <c r="B45" s="53">
        <v>5481</v>
      </c>
      <c r="C45" s="50" t="s">
        <v>126</v>
      </c>
      <c r="D45" s="50" t="s">
        <v>26</v>
      </c>
      <c r="E45" s="51" t="s">
        <v>94</v>
      </c>
      <c r="F45" s="50" t="s">
        <v>311</v>
      </c>
      <c r="G45" s="60" t="s">
        <v>87</v>
      </c>
      <c r="H45" s="67">
        <v>1000</v>
      </c>
      <c r="I45" s="63">
        <v>2000</v>
      </c>
      <c r="J45" s="26">
        <v>2000000</v>
      </c>
      <c r="K45" s="64"/>
    </row>
    <row r="46" spans="1:11">
      <c r="A46" s="53">
        <v>46</v>
      </c>
      <c r="B46" s="53">
        <v>5482</v>
      </c>
      <c r="C46" s="50" t="s">
        <v>127</v>
      </c>
      <c r="D46" s="50" t="s">
        <v>26</v>
      </c>
      <c r="E46" s="51" t="s">
        <v>94</v>
      </c>
      <c r="F46" s="50" t="s">
        <v>311</v>
      </c>
      <c r="G46" s="60" t="s">
        <v>87</v>
      </c>
      <c r="H46" s="67">
        <v>1000</v>
      </c>
      <c r="I46" s="63">
        <v>2000</v>
      </c>
      <c r="J46" s="26">
        <v>2000000</v>
      </c>
      <c r="K46" s="64"/>
    </row>
    <row r="47" spans="1:11">
      <c r="A47" s="53">
        <v>47</v>
      </c>
      <c r="B47" s="53">
        <v>5483</v>
      </c>
      <c r="C47" s="50" t="s">
        <v>128</v>
      </c>
      <c r="D47" s="50" t="s">
        <v>26</v>
      </c>
      <c r="E47" s="51" t="s">
        <v>94</v>
      </c>
      <c r="F47" s="50" t="s">
        <v>311</v>
      </c>
      <c r="G47" s="60" t="s">
        <v>87</v>
      </c>
      <c r="H47" s="67">
        <v>1000</v>
      </c>
      <c r="I47" s="63">
        <v>2000</v>
      </c>
      <c r="J47" s="26">
        <v>2000000</v>
      </c>
      <c r="K47" s="64"/>
    </row>
    <row r="48" spans="1:11">
      <c r="A48" s="53">
        <v>48</v>
      </c>
      <c r="B48" s="53">
        <v>5484</v>
      </c>
      <c r="C48" s="50" t="s">
        <v>129</v>
      </c>
      <c r="D48" s="50" t="s">
        <v>26</v>
      </c>
      <c r="E48" s="51" t="s">
        <v>94</v>
      </c>
      <c r="F48" s="50" t="s">
        <v>311</v>
      </c>
      <c r="G48" s="60" t="s">
        <v>87</v>
      </c>
      <c r="H48" s="67">
        <v>1000</v>
      </c>
      <c r="I48" s="63">
        <v>2000</v>
      </c>
      <c r="J48" s="26">
        <v>2000000</v>
      </c>
      <c r="K48" s="64"/>
    </row>
    <row r="49" spans="1:11">
      <c r="A49" s="53">
        <v>49</v>
      </c>
      <c r="B49" s="53">
        <v>5485</v>
      </c>
      <c r="C49" s="50" t="s">
        <v>130</v>
      </c>
      <c r="D49" s="50" t="s">
        <v>26</v>
      </c>
      <c r="E49" s="51" t="s">
        <v>94</v>
      </c>
      <c r="F49" s="50" t="s">
        <v>311</v>
      </c>
      <c r="G49" s="60" t="s">
        <v>87</v>
      </c>
      <c r="H49" s="67">
        <v>1000</v>
      </c>
      <c r="I49" s="63">
        <v>2000</v>
      </c>
      <c r="J49" s="26">
        <v>2000000</v>
      </c>
      <c r="K49" s="64"/>
    </row>
    <row r="50" spans="1:11">
      <c r="A50" s="53">
        <v>50</v>
      </c>
      <c r="B50" s="53">
        <v>5486</v>
      </c>
      <c r="C50" s="50" t="s">
        <v>131</v>
      </c>
      <c r="D50" s="50" t="s">
        <v>26</v>
      </c>
      <c r="E50" s="51" t="s">
        <v>94</v>
      </c>
      <c r="F50" s="50" t="s">
        <v>311</v>
      </c>
      <c r="G50" s="60" t="s">
        <v>87</v>
      </c>
      <c r="H50" s="67">
        <v>1000</v>
      </c>
      <c r="I50" s="63">
        <v>2000</v>
      </c>
      <c r="J50" s="26">
        <v>2000000</v>
      </c>
      <c r="K50" s="64"/>
    </row>
    <row r="51" spans="1:11">
      <c r="A51" s="53">
        <v>51</v>
      </c>
      <c r="B51" s="53">
        <v>5487</v>
      </c>
      <c r="C51" s="50" t="s">
        <v>132</v>
      </c>
      <c r="D51" s="50" t="s">
        <v>26</v>
      </c>
      <c r="E51" s="51" t="s">
        <v>94</v>
      </c>
      <c r="F51" s="50" t="s">
        <v>311</v>
      </c>
      <c r="G51" s="60" t="s">
        <v>87</v>
      </c>
      <c r="H51" s="67">
        <v>1000</v>
      </c>
      <c r="I51" s="63">
        <v>2000</v>
      </c>
      <c r="J51" s="26">
        <v>2000000</v>
      </c>
      <c r="K51" s="64"/>
    </row>
    <row r="52" spans="1:11">
      <c r="A52" s="53">
        <v>52</v>
      </c>
      <c r="B52" s="53">
        <v>5488</v>
      </c>
      <c r="C52" s="50" t="s">
        <v>133</v>
      </c>
      <c r="D52" s="50" t="s">
        <v>21</v>
      </c>
      <c r="E52" s="51" t="s">
        <v>134</v>
      </c>
      <c r="F52" s="50" t="s">
        <v>311</v>
      </c>
      <c r="G52" s="60" t="s">
        <v>87</v>
      </c>
      <c r="H52" s="67">
        <v>1000</v>
      </c>
      <c r="I52" s="63">
        <v>2000</v>
      </c>
      <c r="J52" s="26">
        <v>2000000</v>
      </c>
      <c r="K52" s="64"/>
    </row>
    <row r="53" spans="1:11">
      <c r="A53" s="53">
        <v>53</v>
      </c>
      <c r="B53" s="53">
        <v>5489</v>
      </c>
      <c r="C53" s="50" t="s">
        <v>135</v>
      </c>
      <c r="D53" s="50" t="s">
        <v>21</v>
      </c>
      <c r="E53" s="51" t="s">
        <v>134</v>
      </c>
      <c r="F53" s="50" t="s">
        <v>311</v>
      </c>
      <c r="G53" s="60" t="s">
        <v>87</v>
      </c>
      <c r="H53" s="67">
        <v>1000</v>
      </c>
      <c r="I53" s="63">
        <v>2000</v>
      </c>
      <c r="J53" s="26">
        <v>2000000</v>
      </c>
      <c r="K53" s="64"/>
    </row>
    <row r="54" spans="1:11">
      <c r="A54" s="53">
        <v>54</v>
      </c>
      <c r="B54" s="53">
        <v>5490</v>
      </c>
      <c r="C54" s="50" t="s">
        <v>136</v>
      </c>
      <c r="D54" s="50" t="s">
        <v>21</v>
      </c>
      <c r="E54" s="51" t="s">
        <v>134</v>
      </c>
      <c r="F54" s="50" t="s">
        <v>311</v>
      </c>
      <c r="G54" s="60" t="s">
        <v>87</v>
      </c>
      <c r="H54" s="67">
        <v>1000</v>
      </c>
      <c r="I54" s="63">
        <v>2000</v>
      </c>
      <c r="J54" s="26">
        <v>2000000</v>
      </c>
      <c r="K54" s="64"/>
    </row>
    <row r="55" spans="1:11">
      <c r="A55" s="53">
        <v>55</v>
      </c>
      <c r="B55" s="53">
        <v>5491</v>
      </c>
      <c r="C55" s="50" t="s">
        <v>137</v>
      </c>
      <c r="D55" s="50" t="s">
        <v>21</v>
      </c>
      <c r="E55" s="51" t="s">
        <v>134</v>
      </c>
      <c r="F55" s="50" t="s">
        <v>311</v>
      </c>
      <c r="G55" s="60" t="s">
        <v>87</v>
      </c>
      <c r="H55" s="67">
        <v>1000</v>
      </c>
      <c r="I55" s="63">
        <v>2000</v>
      </c>
      <c r="J55" s="26">
        <v>2000000</v>
      </c>
      <c r="K55" s="64"/>
    </row>
    <row r="56" spans="1:11">
      <c r="A56" s="53">
        <v>56</v>
      </c>
      <c r="B56" s="53">
        <v>5492</v>
      </c>
      <c r="C56" s="50" t="s">
        <v>138</v>
      </c>
      <c r="D56" s="50" t="s">
        <v>21</v>
      </c>
      <c r="E56" s="51" t="s">
        <v>134</v>
      </c>
      <c r="F56" s="50" t="s">
        <v>311</v>
      </c>
      <c r="G56" s="60" t="s">
        <v>87</v>
      </c>
      <c r="H56" s="67">
        <v>1000</v>
      </c>
      <c r="I56" s="63">
        <v>2000</v>
      </c>
      <c r="J56" s="26">
        <v>2000000</v>
      </c>
      <c r="K56" s="64"/>
    </row>
    <row r="57" spans="1:11">
      <c r="A57" s="53">
        <v>57</v>
      </c>
      <c r="B57" s="53">
        <v>5493</v>
      </c>
      <c r="C57" s="50" t="s">
        <v>139</v>
      </c>
      <c r="D57" s="50" t="s">
        <v>21</v>
      </c>
      <c r="E57" s="51" t="s">
        <v>134</v>
      </c>
      <c r="F57" s="50" t="s">
        <v>311</v>
      </c>
      <c r="G57" s="60" t="s">
        <v>87</v>
      </c>
      <c r="H57" s="67">
        <v>1000</v>
      </c>
      <c r="I57" s="63">
        <v>2000</v>
      </c>
      <c r="J57" s="26">
        <v>2000000</v>
      </c>
      <c r="K57" s="64"/>
    </row>
    <row r="58" spans="1:11">
      <c r="A58" s="53">
        <v>58</v>
      </c>
      <c r="B58" s="53">
        <v>5494</v>
      </c>
      <c r="C58" s="50" t="s">
        <v>140</v>
      </c>
      <c r="D58" s="50" t="s">
        <v>21</v>
      </c>
      <c r="E58" s="51" t="s">
        <v>134</v>
      </c>
      <c r="F58" s="50" t="s">
        <v>311</v>
      </c>
      <c r="G58" s="60" t="s">
        <v>87</v>
      </c>
      <c r="H58" s="67">
        <v>1000</v>
      </c>
      <c r="I58" s="63">
        <v>2000</v>
      </c>
      <c r="J58" s="26">
        <v>2000000</v>
      </c>
      <c r="K58" s="64"/>
    </row>
    <row r="59" spans="1:11">
      <c r="A59" s="53">
        <v>59</v>
      </c>
      <c r="B59" s="53">
        <v>5495</v>
      </c>
      <c r="C59" s="50" t="s">
        <v>141</v>
      </c>
      <c r="D59" s="50" t="s">
        <v>21</v>
      </c>
      <c r="E59" s="51" t="s">
        <v>134</v>
      </c>
      <c r="F59" s="50" t="s">
        <v>311</v>
      </c>
      <c r="G59" s="60" t="s">
        <v>87</v>
      </c>
      <c r="H59" s="67">
        <v>1000</v>
      </c>
      <c r="I59" s="63">
        <v>2000</v>
      </c>
      <c r="J59" s="26">
        <v>2000000</v>
      </c>
      <c r="K59" s="64"/>
    </row>
    <row r="60" spans="1:11">
      <c r="A60" s="53">
        <v>60</v>
      </c>
      <c r="B60" s="53">
        <v>5496</v>
      </c>
      <c r="C60" s="50" t="s">
        <v>142</v>
      </c>
      <c r="D60" s="50" t="s">
        <v>21</v>
      </c>
      <c r="E60" s="51" t="s">
        <v>134</v>
      </c>
      <c r="F60" s="50" t="s">
        <v>311</v>
      </c>
      <c r="G60" s="60" t="s">
        <v>87</v>
      </c>
      <c r="H60" s="67">
        <v>1000</v>
      </c>
      <c r="I60" s="63">
        <v>2000</v>
      </c>
      <c r="J60" s="26">
        <v>2000000</v>
      </c>
      <c r="K60" s="64"/>
    </row>
    <row r="61" spans="1:11">
      <c r="A61" s="53">
        <v>61</v>
      </c>
      <c r="B61" s="53">
        <v>5497</v>
      </c>
      <c r="C61" s="50" t="s">
        <v>143</v>
      </c>
      <c r="D61" s="50" t="s">
        <v>21</v>
      </c>
      <c r="E61" s="51" t="s">
        <v>134</v>
      </c>
      <c r="F61" s="50" t="s">
        <v>311</v>
      </c>
      <c r="G61" s="60" t="s">
        <v>87</v>
      </c>
      <c r="H61" s="67">
        <v>1000</v>
      </c>
      <c r="I61" s="63">
        <v>2000</v>
      </c>
      <c r="J61" s="26">
        <v>2000000</v>
      </c>
      <c r="K61" s="64"/>
    </row>
    <row r="62" spans="1:11">
      <c r="A62" s="53">
        <v>62</v>
      </c>
      <c r="B62" s="53">
        <v>5498</v>
      </c>
      <c r="C62" s="50" t="s">
        <v>144</v>
      </c>
      <c r="D62" s="50" t="s">
        <v>22</v>
      </c>
      <c r="E62" s="51" t="s">
        <v>134</v>
      </c>
      <c r="F62" s="50" t="s">
        <v>311</v>
      </c>
      <c r="G62" s="60" t="s">
        <v>87</v>
      </c>
      <c r="H62" s="67">
        <v>1000</v>
      </c>
      <c r="I62" s="63">
        <v>2000</v>
      </c>
      <c r="J62" s="26">
        <v>2000000</v>
      </c>
      <c r="K62" s="64"/>
    </row>
    <row r="63" spans="1:11">
      <c r="A63" s="53">
        <v>63</v>
      </c>
      <c r="B63" s="53">
        <v>5499</v>
      </c>
      <c r="C63" s="50" t="s">
        <v>145</v>
      </c>
      <c r="D63" s="50" t="s">
        <v>22</v>
      </c>
      <c r="E63" s="51" t="s">
        <v>134</v>
      </c>
      <c r="F63" s="50" t="s">
        <v>311</v>
      </c>
      <c r="G63" s="60" t="s">
        <v>87</v>
      </c>
      <c r="H63" s="67">
        <v>1000</v>
      </c>
      <c r="I63" s="63">
        <v>2000</v>
      </c>
      <c r="J63" s="26">
        <v>2000000</v>
      </c>
      <c r="K63" s="64"/>
    </row>
    <row r="64" spans="1:11">
      <c r="A64" s="53">
        <v>64</v>
      </c>
      <c r="B64" s="53">
        <v>5500</v>
      </c>
      <c r="C64" s="50" t="s">
        <v>146</v>
      </c>
      <c r="D64" s="50" t="s">
        <v>22</v>
      </c>
      <c r="E64" s="51" t="s">
        <v>134</v>
      </c>
      <c r="F64" s="50" t="s">
        <v>311</v>
      </c>
      <c r="G64" s="60" t="s">
        <v>87</v>
      </c>
      <c r="H64" s="67">
        <v>1000</v>
      </c>
      <c r="I64" s="63">
        <v>2000</v>
      </c>
      <c r="J64" s="26">
        <v>2000000</v>
      </c>
      <c r="K64" s="64"/>
    </row>
    <row r="65" spans="1:11">
      <c r="A65" s="53">
        <v>65</v>
      </c>
      <c r="B65" s="53">
        <v>5501</v>
      </c>
      <c r="C65" s="50" t="s">
        <v>147</v>
      </c>
      <c r="D65" s="50" t="s">
        <v>22</v>
      </c>
      <c r="E65" s="51" t="s">
        <v>134</v>
      </c>
      <c r="F65" s="50" t="s">
        <v>311</v>
      </c>
      <c r="G65" s="60" t="s">
        <v>87</v>
      </c>
      <c r="H65" s="67">
        <v>1000</v>
      </c>
      <c r="I65" s="63">
        <v>2000</v>
      </c>
      <c r="J65" s="26">
        <v>2000000</v>
      </c>
      <c r="K65" s="64"/>
    </row>
    <row r="66" spans="1:11">
      <c r="A66" s="53">
        <v>66</v>
      </c>
      <c r="B66" s="53">
        <v>5502</v>
      </c>
      <c r="C66" s="50" t="s">
        <v>148</v>
      </c>
      <c r="D66" s="50" t="s">
        <v>22</v>
      </c>
      <c r="E66" s="51" t="s">
        <v>134</v>
      </c>
      <c r="F66" s="50" t="s">
        <v>311</v>
      </c>
      <c r="G66" s="60" t="s">
        <v>87</v>
      </c>
      <c r="H66" s="67">
        <v>1000</v>
      </c>
      <c r="I66" s="63">
        <v>2000</v>
      </c>
      <c r="J66" s="26">
        <v>2000000</v>
      </c>
      <c r="K66" s="64"/>
    </row>
    <row r="67" spans="1:11">
      <c r="A67" s="53">
        <v>67</v>
      </c>
      <c r="B67" s="53">
        <v>5503</v>
      </c>
      <c r="C67" s="50" t="s">
        <v>149</v>
      </c>
      <c r="D67" s="50" t="s">
        <v>22</v>
      </c>
      <c r="E67" s="51" t="s">
        <v>134</v>
      </c>
      <c r="F67" s="50" t="s">
        <v>311</v>
      </c>
      <c r="G67" s="60" t="s">
        <v>87</v>
      </c>
      <c r="H67" s="67">
        <v>1000</v>
      </c>
      <c r="I67" s="63">
        <v>2000</v>
      </c>
      <c r="J67" s="26">
        <v>2000000</v>
      </c>
      <c r="K67" s="64"/>
    </row>
    <row r="68" spans="1:11">
      <c r="A68" s="53">
        <v>68</v>
      </c>
      <c r="B68" s="53">
        <v>5504</v>
      </c>
      <c r="C68" s="50" t="s">
        <v>150</v>
      </c>
      <c r="D68" s="50" t="s">
        <v>22</v>
      </c>
      <c r="E68" s="51" t="s">
        <v>134</v>
      </c>
      <c r="F68" s="50" t="s">
        <v>311</v>
      </c>
      <c r="G68" s="60" t="s">
        <v>87</v>
      </c>
      <c r="H68" s="67">
        <v>1000</v>
      </c>
      <c r="I68" s="63">
        <v>2000</v>
      </c>
      <c r="J68" s="26">
        <v>2000000</v>
      </c>
      <c r="K68" s="64"/>
    </row>
    <row r="69" spans="1:11">
      <c r="A69" s="53">
        <v>69</v>
      </c>
      <c r="B69" s="53">
        <v>5505</v>
      </c>
      <c r="C69" s="50" t="s">
        <v>151</v>
      </c>
      <c r="D69" s="50" t="s">
        <v>22</v>
      </c>
      <c r="E69" s="51" t="s">
        <v>134</v>
      </c>
      <c r="F69" s="50" t="s">
        <v>311</v>
      </c>
      <c r="G69" s="60" t="s">
        <v>87</v>
      </c>
      <c r="H69" s="67">
        <v>1000</v>
      </c>
      <c r="I69" s="63">
        <v>2000</v>
      </c>
      <c r="J69" s="26">
        <v>2000000</v>
      </c>
      <c r="K69" s="64"/>
    </row>
    <row r="70" spans="1:11">
      <c r="A70" s="53">
        <v>70</v>
      </c>
      <c r="B70" s="53">
        <v>5506</v>
      </c>
      <c r="C70" s="50" t="s">
        <v>152</v>
      </c>
      <c r="D70" s="50" t="s">
        <v>22</v>
      </c>
      <c r="E70" s="51" t="s">
        <v>134</v>
      </c>
      <c r="F70" s="50" t="s">
        <v>311</v>
      </c>
      <c r="G70" s="60" t="s">
        <v>87</v>
      </c>
      <c r="H70" s="67">
        <v>1000</v>
      </c>
      <c r="I70" s="63">
        <v>2000</v>
      </c>
      <c r="J70" s="26">
        <v>2000000</v>
      </c>
      <c r="K70" s="64"/>
    </row>
    <row r="71" spans="1:11">
      <c r="A71" s="53">
        <v>71</v>
      </c>
      <c r="B71" s="53">
        <v>5507</v>
      </c>
      <c r="C71" s="50" t="s">
        <v>153</v>
      </c>
      <c r="D71" s="50" t="s">
        <v>22</v>
      </c>
      <c r="E71" s="51" t="s">
        <v>134</v>
      </c>
      <c r="F71" s="50" t="s">
        <v>311</v>
      </c>
      <c r="G71" s="60" t="s">
        <v>87</v>
      </c>
      <c r="H71" s="67">
        <v>1000</v>
      </c>
      <c r="I71" s="63">
        <v>2000</v>
      </c>
      <c r="J71" s="26">
        <v>2000000</v>
      </c>
      <c r="K71" s="64"/>
    </row>
    <row r="72" spans="1:11">
      <c r="A72" s="53">
        <v>72</v>
      </c>
      <c r="B72" s="53">
        <v>5508</v>
      </c>
      <c r="C72" s="50" t="s">
        <v>154</v>
      </c>
      <c r="D72" s="50" t="s">
        <v>23</v>
      </c>
      <c r="E72" s="51" t="s">
        <v>134</v>
      </c>
      <c r="F72" s="50" t="s">
        <v>311</v>
      </c>
      <c r="G72" s="60" t="s">
        <v>87</v>
      </c>
      <c r="H72" s="67">
        <v>1000</v>
      </c>
      <c r="I72" s="63">
        <v>2000</v>
      </c>
      <c r="J72" s="26">
        <v>2000000</v>
      </c>
      <c r="K72" s="64"/>
    </row>
    <row r="73" spans="1:11">
      <c r="A73" s="53">
        <v>73</v>
      </c>
      <c r="B73" s="53">
        <v>5509</v>
      </c>
      <c r="C73" s="50" t="s">
        <v>155</v>
      </c>
      <c r="D73" s="50" t="s">
        <v>23</v>
      </c>
      <c r="E73" s="51" t="s">
        <v>134</v>
      </c>
      <c r="F73" s="50" t="s">
        <v>311</v>
      </c>
      <c r="G73" s="60" t="s">
        <v>87</v>
      </c>
      <c r="H73" s="67">
        <v>1000</v>
      </c>
      <c r="I73" s="63">
        <v>2000</v>
      </c>
      <c r="J73" s="26">
        <v>2000000</v>
      </c>
      <c r="K73" s="64"/>
    </row>
    <row r="74" spans="1:11">
      <c r="A74" s="53">
        <v>74</v>
      </c>
      <c r="B74" s="53">
        <v>5510</v>
      </c>
      <c r="C74" s="50" t="s">
        <v>156</v>
      </c>
      <c r="D74" s="50" t="s">
        <v>23</v>
      </c>
      <c r="E74" s="51" t="s">
        <v>134</v>
      </c>
      <c r="F74" s="50" t="s">
        <v>311</v>
      </c>
      <c r="G74" s="60" t="s">
        <v>87</v>
      </c>
      <c r="H74" s="67">
        <v>1000</v>
      </c>
      <c r="I74" s="63">
        <v>2000</v>
      </c>
      <c r="J74" s="26">
        <v>2000000</v>
      </c>
      <c r="K74" s="64"/>
    </row>
    <row r="75" spans="1:11">
      <c r="A75" s="53">
        <v>75</v>
      </c>
      <c r="B75" s="53">
        <v>5511</v>
      </c>
      <c r="C75" s="50" t="s">
        <v>157</v>
      </c>
      <c r="D75" s="50" t="s">
        <v>23</v>
      </c>
      <c r="E75" s="51" t="s">
        <v>134</v>
      </c>
      <c r="F75" s="50" t="s">
        <v>311</v>
      </c>
      <c r="G75" s="60" t="s">
        <v>87</v>
      </c>
      <c r="H75" s="67">
        <v>1000</v>
      </c>
      <c r="I75" s="63">
        <v>2000</v>
      </c>
      <c r="J75" s="26">
        <v>2000000</v>
      </c>
      <c r="K75" s="64"/>
    </row>
    <row r="76" spans="1:11">
      <c r="A76" s="53">
        <v>76</v>
      </c>
      <c r="B76" s="53">
        <v>5512</v>
      </c>
      <c r="C76" s="50" t="s">
        <v>158</v>
      </c>
      <c r="D76" s="50" t="s">
        <v>23</v>
      </c>
      <c r="E76" s="51" t="s">
        <v>134</v>
      </c>
      <c r="F76" s="50" t="s">
        <v>311</v>
      </c>
      <c r="G76" s="60" t="s">
        <v>87</v>
      </c>
      <c r="H76" s="67">
        <v>1000</v>
      </c>
      <c r="I76" s="63">
        <v>2000</v>
      </c>
      <c r="J76" s="26">
        <v>2000000</v>
      </c>
      <c r="K76" s="64"/>
    </row>
    <row r="77" spans="1:11">
      <c r="A77" s="53">
        <v>77</v>
      </c>
      <c r="B77" s="53">
        <v>5513</v>
      </c>
      <c r="C77" s="50" t="s">
        <v>159</v>
      </c>
      <c r="D77" s="50" t="s">
        <v>23</v>
      </c>
      <c r="E77" s="51" t="s">
        <v>134</v>
      </c>
      <c r="F77" s="50" t="s">
        <v>311</v>
      </c>
      <c r="G77" s="60" t="s">
        <v>87</v>
      </c>
      <c r="H77" s="67">
        <v>1000</v>
      </c>
      <c r="I77" s="63">
        <v>2000</v>
      </c>
      <c r="J77" s="26">
        <v>2000000</v>
      </c>
      <c r="K77" s="64"/>
    </row>
    <row r="78" spans="1:11">
      <c r="A78" s="53">
        <v>78</v>
      </c>
      <c r="B78" s="53">
        <v>5514</v>
      </c>
      <c r="C78" s="50" t="s">
        <v>160</v>
      </c>
      <c r="D78" s="50" t="s">
        <v>23</v>
      </c>
      <c r="E78" s="51" t="s">
        <v>134</v>
      </c>
      <c r="F78" s="50" t="s">
        <v>311</v>
      </c>
      <c r="G78" s="60" t="s">
        <v>87</v>
      </c>
      <c r="H78" s="67">
        <v>1000</v>
      </c>
      <c r="I78" s="63">
        <v>2000</v>
      </c>
      <c r="J78" s="26">
        <v>2000000</v>
      </c>
      <c r="K78" s="64"/>
    </row>
    <row r="79" spans="1:11">
      <c r="A79" s="53">
        <v>79</v>
      </c>
      <c r="B79" s="53">
        <v>5515</v>
      </c>
      <c r="C79" s="50" t="s">
        <v>161</v>
      </c>
      <c r="D79" s="50" t="s">
        <v>23</v>
      </c>
      <c r="E79" s="51" t="s">
        <v>134</v>
      </c>
      <c r="F79" s="50" t="s">
        <v>311</v>
      </c>
      <c r="G79" s="60" t="s">
        <v>87</v>
      </c>
      <c r="H79" s="67">
        <v>1000</v>
      </c>
      <c r="I79" s="63">
        <v>2000</v>
      </c>
      <c r="J79" s="26">
        <v>2000000</v>
      </c>
      <c r="K79" s="64"/>
    </row>
    <row r="80" spans="1:11">
      <c r="A80" s="53">
        <v>80</v>
      </c>
      <c r="B80" s="53">
        <v>5516</v>
      </c>
      <c r="C80" s="50" t="s">
        <v>162</v>
      </c>
      <c r="D80" s="50" t="s">
        <v>23</v>
      </c>
      <c r="E80" s="51" t="s">
        <v>134</v>
      </c>
      <c r="F80" s="50" t="s">
        <v>311</v>
      </c>
      <c r="G80" s="60" t="s">
        <v>87</v>
      </c>
      <c r="H80" s="67">
        <v>1000</v>
      </c>
      <c r="I80" s="63">
        <v>2000</v>
      </c>
      <c r="J80" s="26">
        <v>2000000</v>
      </c>
      <c r="K80" s="64"/>
    </row>
    <row r="81" spans="1:11">
      <c r="A81" s="53">
        <v>81</v>
      </c>
      <c r="B81" s="53">
        <v>5517</v>
      </c>
      <c r="C81" s="50" t="s">
        <v>163</v>
      </c>
      <c r="D81" s="50" t="s">
        <v>23</v>
      </c>
      <c r="E81" s="51" t="s">
        <v>134</v>
      </c>
      <c r="F81" s="50" t="s">
        <v>311</v>
      </c>
      <c r="G81" s="60" t="s">
        <v>87</v>
      </c>
      <c r="H81" s="67">
        <v>1000</v>
      </c>
      <c r="I81" s="63">
        <v>2000</v>
      </c>
      <c r="J81" s="26">
        <v>2000000</v>
      </c>
      <c r="K81" s="64"/>
    </row>
    <row r="82" spans="1:11">
      <c r="A82" s="53">
        <v>82</v>
      </c>
      <c r="B82" s="53">
        <v>5518</v>
      </c>
      <c r="C82" s="50" t="s">
        <v>164</v>
      </c>
      <c r="D82" s="50" t="s">
        <v>24</v>
      </c>
      <c r="E82" s="51" t="s">
        <v>134</v>
      </c>
      <c r="F82" s="50" t="s">
        <v>311</v>
      </c>
      <c r="G82" s="60" t="s">
        <v>87</v>
      </c>
      <c r="H82" s="67">
        <v>1000</v>
      </c>
      <c r="I82" s="63">
        <v>2000</v>
      </c>
      <c r="J82" s="26">
        <v>2000000</v>
      </c>
      <c r="K82" s="64"/>
    </row>
    <row r="83" spans="1:11">
      <c r="A83" s="53">
        <v>83</v>
      </c>
      <c r="B83" s="53">
        <v>5519</v>
      </c>
      <c r="C83" s="50" t="s">
        <v>165</v>
      </c>
      <c r="D83" s="50" t="s">
        <v>24</v>
      </c>
      <c r="E83" s="51" t="s">
        <v>134</v>
      </c>
      <c r="F83" s="50" t="s">
        <v>311</v>
      </c>
      <c r="G83" s="60" t="s">
        <v>87</v>
      </c>
      <c r="H83" s="67">
        <v>1000</v>
      </c>
      <c r="I83" s="63">
        <v>2000</v>
      </c>
      <c r="J83" s="26">
        <v>2000000</v>
      </c>
      <c r="K83" s="64"/>
    </row>
    <row r="84" spans="1:11">
      <c r="A84" s="53">
        <v>84</v>
      </c>
      <c r="B84" s="53">
        <v>5520</v>
      </c>
      <c r="C84" s="50" t="s">
        <v>166</v>
      </c>
      <c r="D84" s="50" t="s">
        <v>24</v>
      </c>
      <c r="E84" s="51" t="s">
        <v>134</v>
      </c>
      <c r="F84" s="50" t="s">
        <v>311</v>
      </c>
      <c r="G84" s="60" t="s">
        <v>87</v>
      </c>
      <c r="H84" s="67">
        <v>1000</v>
      </c>
      <c r="I84" s="63">
        <v>2000</v>
      </c>
      <c r="J84" s="26">
        <v>2000000</v>
      </c>
      <c r="K84" s="64"/>
    </row>
    <row r="85" spans="1:11">
      <c r="A85" s="53">
        <v>85</v>
      </c>
      <c r="B85" s="53">
        <v>5521</v>
      </c>
      <c r="C85" s="50" t="s">
        <v>167</v>
      </c>
      <c r="D85" s="50" t="s">
        <v>24</v>
      </c>
      <c r="E85" s="51" t="s">
        <v>134</v>
      </c>
      <c r="F85" s="50" t="s">
        <v>311</v>
      </c>
      <c r="G85" s="60" t="s">
        <v>87</v>
      </c>
      <c r="H85" s="67">
        <v>1000</v>
      </c>
      <c r="I85" s="63">
        <v>2000</v>
      </c>
      <c r="J85" s="26">
        <v>2000000</v>
      </c>
      <c r="K85" s="64"/>
    </row>
    <row r="86" spans="1:11">
      <c r="A86" s="53">
        <v>86</v>
      </c>
      <c r="B86" s="53">
        <v>5522</v>
      </c>
      <c r="C86" s="50" t="s">
        <v>168</v>
      </c>
      <c r="D86" s="50" t="s">
        <v>24</v>
      </c>
      <c r="E86" s="51" t="s">
        <v>134</v>
      </c>
      <c r="F86" s="50" t="s">
        <v>311</v>
      </c>
      <c r="G86" s="60" t="s">
        <v>87</v>
      </c>
      <c r="H86" s="67">
        <v>1000</v>
      </c>
      <c r="I86" s="63">
        <v>2000</v>
      </c>
      <c r="J86" s="26">
        <v>2000000</v>
      </c>
      <c r="K86" s="64"/>
    </row>
    <row r="87" spans="1:11">
      <c r="A87" s="53">
        <v>87</v>
      </c>
      <c r="B87" s="53">
        <v>5523</v>
      </c>
      <c r="C87" s="50" t="s">
        <v>169</v>
      </c>
      <c r="D87" s="50" t="s">
        <v>24</v>
      </c>
      <c r="E87" s="51" t="s">
        <v>134</v>
      </c>
      <c r="F87" s="50" t="s">
        <v>311</v>
      </c>
      <c r="G87" s="60" t="s">
        <v>87</v>
      </c>
      <c r="H87" s="67">
        <v>1000</v>
      </c>
      <c r="I87" s="63">
        <v>2000</v>
      </c>
      <c r="J87" s="26">
        <v>2000000</v>
      </c>
      <c r="K87" s="64"/>
    </row>
    <row r="88" spans="1:11">
      <c r="A88" s="53">
        <v>88</v>
      </c>
      <c r="B88" s="53">
        <v>5524</v>
      </c>
      <c r="C88" s="50" t="s">
        <v>170</v>
      </c>
      <c r="D88" s="50" t="s">
        <v>24</v>
      </c>
      <c r="E88" s="51" t="s">
        <v>134</v>
      </c>
      <c r="F88" s="50" t="s">
        <v>311</v>
      </c>
      <c r="G88" s="60" t="s">
        <v>87</v>
      </c>
      <c r="H88" s="67">
        <v>1000</v>
      </c>
      <c r="I88" s="63">
        <v>2000</v>
      </c>
      <c r="J88" s="26">
        <v>2000000</v>
      </c>
      <c r="K88" s="64"/>
    </row>
    <row r="89" spans="1:11">
      <c r="A89" s="53">
        <v>89</v>
      </c>
      <c r="B89" s="53">
        <v>5525</v>
      </c>
      <c r="C89" s="50" t="s">
        <v>171</v>
      </c>
      <c r="D89" s="50" t="s">
        <v>24</v>
      </c>
      <c r="E89" s="51" t="s">
        <v>134</v>
      </c>
      <c r="F89" s="50" t="s">
        <v>311</v>
      </c>
      <c r="G89" s="60" t="s">
        <v>87</v>
      </c>
      <c r="H89" s="67">
        <v>1000</v>
      </c>
      <c r="I89" s="63">
        <v>2000</v>
      </c>
      <c r="J89" s="26">
        <v>2000000</v>
      </c>
      <c r="K89" s="64"/>
    </row>
    <row r="90" spans="1:11">
      <c r="A90" s="53">
        <v>90</v>
      </c>
      <c r="B90" s="53">
        <v>5526</v>
      </c>
      <c r="C90" s="50" t="s">
        <v>172</v>
      </c>
      <c r="D90" s="50" t="s">
        <v>24</v>
      </c>
      <c r="E90" s="51" t="s">
        <v>134</v>
      </c>
      <c r="F90" s="50" t="s">
        <v>311</v>
      </c>
      <c r="G90" s="60" t="s">
        <v>87</v>
      </c>
      <c r="H90" s="67">
        <v>1000</v>
      </c>
      <c r="I90" s="63">
        <v>2000</v>
      </c>
      <c r="J90" s="26">
        <v>2000000</v>
      </c>
      <c r="K90" s="64"/>
    </row>
    <row r="91" spans="1:11">
      <c r="A91" s="53">
        <v>91</v>
      </c>
      <c r="B91" s="53">
        <v>5527</v>
      </c>
      <c r="C91" s="50" t="s">
        <v>173</v>
      </c>
      <c r="D91" s="50" t="s">
        <v>24</v>
      </c>
      <c r="E91" s="51" t="s">
        <v>134</v>
      </c>
      <c r="F91" s="50" t="s">
        <v>311</v>
      </c>
      <c r="G91" s="60" t="s">
        <v>87</v>
      </c>
      <c r="H91" s="67">
        <v>1000</v>
      </c>
      <c r="I91" s="63">
        <v>2000</v>
      </c>
      <c r="J91" s="26">
        <v>2000000</v>
      </c>
      <c r="K91" s="64"/>
    </row>
    <row r="92" spans="1:11">
      <c r="A92" s="53">
        <v>92</v>
      </c>
      <c r="B92" s="53">
        <v>5528</v>
      </c>
      <c r="C92" s="50" t="s">
        <v>174</v>
      </c>
      <c r="D92" s="50" t="s">
        <v>25</v>
      </c>
      <c r="E92" s="51" t="s">
        <v>134</v>
      </c>
      <c r="F92" s="50" t="s">
        <v>311</v>
      </c>
      <c r="G92" s="60" t="s">
        <v>87</v>
      </c>
      <c r="H92" s="67">
        <v>1000</v>
      </c>
      <c r="I92" s="63">
        <v>2000</v>
      </c>
      <c r="J92" s="26">
        <v>2000000</v>
      </c>
      <c r="K92" s="64"/>
    </row>
    <row r="93" spans="1:11">
      <c r="A93" s="53">
        <v>93</v>
      </c>
      <c r="B93" s="53">
        <v>5529</v>
      </c>
      <c r="C93" s="50" t="s">
        <v>175</v>
      </c>
      <c r="D93" s="50" t="s">
        <v>25</v>
      </c>
      <c r="E93" s="51" t="s">
        <v>134</v>
      </c>
      <c r="F93" s="50" t="s">
        <v>311</v>
      </c>
      <c r="G93" s="60" t="s">
        <v>87</v>
      </c>
      <c r="H93" s="67">
        <v>1000</v>
      </c>
      <c r="I93" s="63">
        <v>2000</v>
      </c>
      <c r="J93" s="26">
        <v>2000000</v>
      </c>
      <c r="K93" s="64"/>
    </row>
    <row r="94" spans="1:11">
      <c r="A94" s="53">
        <v>94</v>
      </c>
      <c r="B94" s="53">
        <v>5530</v>
      </c>
      <c r="C94" s="50" t="s">
        <v>176</v>
      </c>
      <c r="D94" s="50" t="s">
        <v>25</v>
      </c>
      <c r="E94" s="51" t="s">
        <v>134</v>
      </c>
      <c r="F94" s="50" t="s">
        <v>311</v>
      </c>
      <c r="G94" s="60" t="s">
        <v>87</v>
      </c>
      <c r="H94" s="67">
        <v>1000</v>
      </c>
      <c r="I94" s="63">
        <v>2000</v>
      </c>
      <c r="J94" s="26">
        <v>2000000</v>
      </c>
      <c r="K94" s="64"/>
    </row>
    <row r="95" spans="1:11">
      <c r="A95" s="53">
        <v>95</v>
      </c>
      <c r="B95" s="53">
        <v>5531</v>
      </c>
      <c r="C95" s="50" t="s">
        <v>177</v>
      </c>
      <c r="D95" s="50" t="s">
        <v>25</v>
      </c>
      <c r="E95" s="51" t="s">
        <v>134</v>
      </c>
      <c r="F95" s="50" t="s">
        <v>311</v>
      </c>
      <c r="G95" s="60" t="s">
        <v>87</v>
      </c>
      <c r="H95" s="67">
        <v>1000</v>
      </c>
      <c r="I95" s="63">
        <v>2000</v>
      </c>
      <c r="J95" s="26">
        <v>2000000</v>
      </c>
      <c r="K95" s="64"/>
    </row>
    <row r="96" spans="1:11">
      <c r="A96" s="53">
        <v>96</v>
      </c>
      <c r="B96" s="53">
        <v>5532</v>
      </c>
      <c r="C96" s="50" t="s">
        <v>178</v>
      </c>
      <c r="D96" s="50" t="s">
        <v>25</v>
      </c>
      <c r="E96" s="51" t="s">
        <v>134</v>
      </c>
      <c r="F96" s="50" t="s">
        <v>311</v>
      </c>
      <c r="G96" s="60" t="s">
        <v>87</v>
      </c>
      <c r="H96" s="67">
        <v>1000</v>
      </c>
      <c r="I96" s="63">
        <v>2000</v>
      </c>
      <c r="J96" s="26">
        <v>2000000</v>
      </c>
      <c r="K96" s="64"/>
    </row>
    <row r="97" spans="1:11">
      <c r="A97" s="53">
        <v>97</v>
      </c>
      <c r="B97" s="53">
        <v>5533</v>
      </c>
      <c r="C97" s="50" t="s">
        <v>179</v>
      </c>
      <c r="D97" s="50" t="s">
        <v>25</v>
      </c>
      <c r="E97" s="51" t="s">
        <v>134</v>
      </c>
      <c r="F97" s="50" t="s">
        <v>311</v>
      </c>
      <c r="G97" s="60" t="s">
        <v>87</v>
      </c>
      <c r="H97" s="67">
        <v>1000</v>
      </c>
      <c r="I97" s="63">
        <v>2000</v>
      </c>
      <c r="J97" s="26">
        <v>2000000</v>
      </c>
      <c r="K97" s="64"/>
    </row>
    <row r="98" spans="1:11">
      <c r="A98" s="53">
        <v>98</v>
      </c>
      <c r="B98" s="53">
        <v>5534</v>
      </c>
      <c r="C98" s="50" t="s">
        <v>180</v>
      </c>
      <c r="D98" s="50" t="s">
        <v>25</v>
      </c>
      <c r="E98" s="51" t="s">
        <v>134</v>
      </c>
      <c r="F98" s="50" t="s">
        <v>311</v>
      </c>
      <c r="G98" s="60" t="s">
        <v>87</v>
      </c>
      <c r="H98" s="67">
        <v>1000</v>
      </c>
      <c r="I98" s="63">
        <v>2000</v>
      </c>
      <c r="J98" s="26">
        <v>2000000</v>
      </c>
      <c r="K98" s="64"/>
    </row>
    <row r="99" spans="1:11">
      <c r="A99" s="53">
        <v>99</v>
      </c>
      <c r="B99" s="53">
        <v>5535</v>
      </c>
      <c r="C99" s="50" t="s">
        <v>181</v>
      </c>
      <c r="D99" s="50" t="s">
        <v>25</v>
      </c>
      <c r="E99" s="51" t="s">
        <v>134</v>
      </c>
      <c r="F99" s="50" t="s">
        <v>311</v>
      </c>
      <c r="G99" s="60" t="s">
        <v>87</v>
      </c>
      <c r="H99" s="67">
        <v>1000</v>
      </c>
      <c r="I99" s="63">
        <v>2000</v>
      </c>
      <c r="J99" s="26">
        <v>2000000</v>
      </c>
      <c r="K99" s="64"/>
    </row>
    <row r="100" spans="1:11">
      <c r="A100" s="53">
        <v>100</v>
      </c>
      <c r="B100" s="53">
        <v>5536</v>
      </c>
      <c r="C100" s="50" t="s">
        <v>182</v>
      </c>
      <c r="D100" s="50" t="s">
        <v>25</v>
      </c>
      <c r="E100" s="51" t="s">
        <v>134</v>
      </c>
      <c r="F100" s="50" t="s">
        <v>311</v>
      </c>
      <c r="G100" s="60" t="s">
        <v>87</v>
      </c>
      <c r="H100" s="67">
        <v>1000</v>
      </c>
      <c r="I100" s="63">
        <v>2000</v>
      </c>
      <c r="J100" s="26">
        <v>2000000</v>
      </c>
      <c r="K100" s="64"/>
    </row>
    <row r="101" spans="1:11">
      <c r="A101" s="53">
        <v>101</v>
      </c>
      <c r="B101" s="53">
        <v>5537</v>
      </c>
      <c r="C101" s="50" t="s">
        <v>183</v>
      </c>
      <c r="D101" s="50" t="s">
        <v>25</v>
      </c>
      <c r="E101" s="51" t="s">
        <v>134</v>
      </c>
      <c r="F101" s="50" t="s">
        <v>311</v>
      </c>
      <c r="G101" s="60" t="s">
        <v>87</v>
      </c>
      <c r="H101" s="67">
        <v>1000</v>
      </c>
      <c r="I101" s="63">
        <v>2000</v>
      </c>
      <c r="J101" s="26">
        <v>2000000</v>
      </c>
      <c r="K101" s="64"/>
    </row>
    <row r="102" spans="1:11">
      <c r="A102" s="53">
        <v>102</v>
      </c>
      <c r="B102" s="53">
        <v>5538</v>
      </c>
      <c r="C102" s="50" t="s">
        <v>184</v>
      </c>
      <c r="D102" s="50" t="s">
        <v>26</v>
      </c>
      <c r="E102" s="51" t="s">
        <v>134</v>
      </c>
      <c r="F102" s="50" t="s">
        <v>311</v>
      </c>
      <c r="G102" s="60" t="s">
        <v>87</v>
      </c>
      <c r="H102" s="67">
        <v>1000</v>
      </c>
      <c r="I102" s="63">
        <v>2000</v>
      </c>
      <c r="J102" s="26">
        <v>2000000</v>
      </c>
      <c r="K102" s="64"/>
    </row>
    <row r="103" spans="1:11">
      <c r="A103" s="53">
        <v>103</v>
      </c>
      <c r="B103" s="53">
        <v>5539</v>
      </c>
      <c r="C103" s="50" t="s">
        <v>185</v>
      </c>
      <c r="D103" s="50" t="s">
        <v>26</v>
      </c>
      <c r="E103" s="51" t="s">
        <v>134</v>
      </c>
      <c r="F103" s="50" t="s">
        <v>311</v>
      </c>
      <c r="G103" s="60" t="s">
        <v>87</v>
      </c>
      <c r="H103" s="67">
        <v>1000</v>
      </c>
      <c r="I103" s="63">
        <v>2000</v>
      </c>
      <c r="J103" s="26">
        <v>2000000</v>
      </c>
      <c r="K103" s="64"/>
    </row>
    <row r="104" spans="1:11">
      <c r="A104" s="53">
        <v>104</v>
      </c>
      <c r="B104" s="53">
        <v>5540</v>
      </c>
      <c r="C104" s="50" t="s">
        <v>186</v>
      </c>
      <c r="D104" s="50" t="s">
        <v>26</v>
      </c>
      <c r="E104" s="51" t="s">
        <v>134</v>
      </c>
      <c r="F104" s="50" t="s">
        <v>311</v>
      </c>
      <c r="G104" s="60" t="s">
        <v>87</v>
      </c>
      <c r="H104" s="67">
        <v>1000</v>
      </c>
      <c r="I104" s="63">
        <v>2000</v>
      </c>
      <c r="J104" s="26">
        <v>2000000</v>
      </c>
      <c r="K104" s="64"/>
    </row>
    <row r="105" spans="1:11">
      <c r="A105" s="53">
        <v>105</v>
      </c>
      <c r="B105" s="53">
        <v>5541</v>
      </c>
      <c r="C105" s="50" t="s">
        <v>187</v>
      </c>
      <c r="D105" s="50" t="s">
        <v>26</v>
      </c>
      <c r="E105" s="51" t="s">
        <v>134</v>
      </c>
      <c r="F105" s="50" t="s">
        <v>311</v>
      </c>
      <c r="G105" s="60" t="s">
        <v>87</v>
      </c>
      <c r="H105" s="67">
        <v>1000</v>
      </c>
      <c r="I105" s="63">
        <v>2000</v>
      </c>
      <c r="J105" s="26">
        <v>2000000</v>
      </c>
      <c r="K105" s="64"/>
    </row>
    <row r="106" spans="1:11">
      <c r="A106" s="53">
        <v>106</v>
      </c>
      <c r="B106" s="53">
        <v>5542</v>
      </c>
      <c r="C106" s="50" t="s">
        <v>188</v>
      </c>
      <c r="D106" s="50" t="s">
        <v>26</v>
      </c>
      <c r="E106" s="51" t="s">
        <v>134</v>
      </c>
      <c r="F106" s="50" t="s">
        <v>311</v>
      </c>
      <c r="G106" s="60" t="s">
        <v>87</v>
      </c>
      <c r="H106" s="67">
        <v>1000</v>
      </c>
      <c r="I106" s="63">
        <v>2000</v>
      </c>
      <c r="J106" s="26">
        <v>2000000</v>
      </c>
      <c r="K106" s="64"/>
    </row>
    <row r="107" spans="1:11">
      <c r="A107" s="53">
        <v>107</v>
      </c>
      <c r="B107" s="53">
        <v>5543</v>
      </c>
      <c r="C107" s="50" t="s">
        <v>189</v>
      </c>
      <c r="D107" s="50" t="s">
        <v>26</v>
      </c>
      <c r="E107" s="51" t="s">
        <v>134</v>
      </c>
      <c r="F107" s="50" t="s">
        <v>311</v>
      </c>
      <c r="G107" s="60" t="s">
        <v>87</v>
      </c>
      <c r="H107" s="67">
        <v>1000</v>
      </c>
      <c r="I107" s="63">
        <v>2000</v>
      </c>
      <c r="J107" s="26">
        <v>2000000</v>
      </c>
      <c r="K107" s="64"/>
    </row>
    <row r="108" spans="1:11">
      <c r="A108" s="53">
        <v>108</v>
      </c>
      <c r="B108" s="53">
        <v>5544</v>
      </c>
      <c r="C108" s="50" t="s">
        <v>190</v>
      </c>
      <c r="D108" s="50" t="s">
        <v>26</v>
      </c>
      <c r="E108" s="51" t="s">
        <v>134</v>
      </c>
      <c r="F108" s="50" t="s">
        <v>311</v>
      </c>
      <c r="G108" s="60" t="s">
        <v>87</v>
      </c>
      <c r="H108" s="67">
        <v>1000</v>
      </c>
      <c r="I108" s="63">
        <v>2000</v>
      </c>
      <c r="J108" s="26">
        <v>2000000</v>
      </c>
      <c r="K108" s="64"/>
    </row>
    <row r="109" spans="1:11">
      <c r="A109" s="53">
        <v>109</v>
      </c>
      <c r="B109" s="53">
        <v>5545</v>
      </c>
      <c r="C109" s="50" t="s">
        <v>191</v>
      </c>
      <c r="D109" s="50" t="s">
        <v>26</v>
      </c>
      <c r="E109" s="51" t="s">
        <v>134</v>
      </c>
      <c r="F109" s="50" t="s">
        <v>311</v>
      </c>
      <c r="G109" s="60" t="s">
        <v>87</v>
      </c>
      <c r="H109" s="67">
        <v>1000</v>
      </c>
      <c r="I109" s="63">
        <v>2000</v>
      </c>
      <c r="J109" s="26">
        <v>2000000</v>
      </c>
      <c r="K109" s="64"/>
    </row>
    <row r="110" spans="1:11">
      <c r="A110" s="53">
        <v>110</v>
      </c>
      <c r="B110" s="53">
        <v>5546</v>
      </c>
      <c r="C110" s="50" t="s">
        <v>192</v>
      </c>
      <c r="D110" s="50" t="s">
        <v>26</v>
      </c>
      <c r="E110" s="51" t="s">
        <v>134</v>
      </c>
      <c r="F110" s="50" t="s">
        <v>311</v>
      </c>
      <c r="G110" s="60" t="s">
        <v>87</v>
      </c>
      <c r="H110" s="67">
        <v>1000</v>
      </c>
      <c r="I110" s="63">
        <v>2000</v>
      </c>
      <c r="J110" s="26">
        <v>2000000</v>
      </c>
      <c r="K110" s="64"/>
    </row>
    <row r="111" spans="1:11">
      <c r="A111" s="53">
        <v>111</v>
      </c>
      <c r="B111" s="53">
        <v>5547</v>
      </c>
      <c r="C111" s="50" t="s">
        <v>193</v>
      </c>
      <c r="D111" s="50" t="s">
        <v>26</v>
      </c>
      <c r="E111" s="51" t="s">
        <v>134</v>
      </c>
      <c r="F111" s="50" t="s">
        <v>311</v>
      </c>
      <c r="G111" s="60" t="s">
        <v>87</v>
      </c>
      <c r="H111" s="67">
        <v>1000</v>
      </c>
      <c r="I111" s="63">
        <v>2000</v>
      </c>
      <c r="J111" s="26">
        <v>2000000</v>
      </c>
      <c r="K111" s="64"/>
    </row>
    <row r="112" spans="1:11">
      <c r="A112" s="53">
        <v>112</v>
      </c>
      <c r="B112" s="53">
        <v>5548</v>
      </c>
      <c r="C112" s="50" t="s">
        <v>194</v>
      </c>
      <c r="D112" s="50" t="s">
        <v>22</v>
      </c>
      <c r="E112" s="51" t="s">
        <v>86</v>
      </c>
      <c r="F112" s="50" t="s">
        <v>311</v>
      </c>
      <c r="G112" s="60" t="s">
        <v>87</v>
      </c>
      <c r="H112" s="67">
        <v>1000</v>
      </c>
      <c r="I112" s="63">
        <v>2000</v>
      </c>
      <c r="J112" s="26">
        <v>2000000</v>
      </c>
      <c r="K112" s="64"/>
    </row>
    <row r="113" spans="1:11">
      <c r="A113" s="53">
        <v>113</v>
      </c>
      <c r="B113" s="53">
        <v>5549</v>
      </c>
      <c r="C113" s="50" t="s">
        <v>195</v>
      </c>
      <c r="D113" s="50" t="s">
        <v>22</v>
      </c>
      <c r="E113" s="51" t="s">
        <v>86</v>
      </c>
      <c r="F113" s="50" t="s">
        <v>311</v>
      </c>
      <c r="G113" s="60" t="s">
        <v>87</v>
      </c>
      <c r="H113" s="67">
        <v>1000</v>
      </c>
      <c r="I113" s="63">
        <v>2000</v>
      </c>
      <c r="J113" s="26">
        <v>2000000</v>
      </c>
      <c r="K113" s="64"/>
    </row>
    <row r="114" spans="1:11">
      <c r="A114" s="53">
        <v>114</v>
      </c>
      <c r="B114" s="53">
        <v>5550</v>
      </c>
      <c r="C114" s="50" t="s">
        <v>196</v>
      </c>
      <c r="D114" s="50" t="s">
        <v>22</v>
      </c>
      <c r="E114" s="51" t="s">
        <v>86</v>
      </c>
      <c r="F114" s="50" t="s">
        <v>311</v>
      </c>
      <c r="G114" s="60" t="s">
        <v>87</v>
      </c>
      <c r="H114" s="67">
        <v>1000</v>
      </c>
      <c r="I114" s="63">
        <v>2000</v>
      </c>
      <c r="J114" s="26">
        <v>2000000</v>
      </c>
      <c r="K114" s="64"/>
    </row>
    <row r="115" spans="1:11">
      <c r="A115" s="53">
        <v>115</v>
      </c>
      <c r="B115" s="53">
        <v>5551</v>
      </c>
      <c r="C115" s="50" t="s">
        <v>197</v>
      </c>
      <c r="D115" s="50" t="s">
        <v>23</v>
      </c>
      <c r="E115" s="51" t="s">
        <v>86</v>
      </c>
      <c r="F115" s="50" t="s">
        <v>311</v>
      </c>
      <c r="G115" s="60" t="s">
        <v>87</v>
      </c>
      <c r="H115" s="67">
        <v>1000</v>
      </c>
      <c r="I115" s="63">
        <v>2000</v>
      </c>
      <c r="J115" s="26">
        <v>2000000</v>
      </c>
      <c r="K115" s="64"/>
    </row>
    <row r="116" spans="1:11">
      <c r="A116" s="53">
        <v>116</v>
      </c>
      <c r="B116" s="53">
        <v>5552</v>
      </c>
      <c r="C116" s="50" t="s">
        <v>198</v>
      </c>
      <c r="D116" s="50" t="s">
        <v>23</v>
      </c>
      <c r="E116" s="51" t="s">
        <v>86</v>
      </c>
      <c r="F116" s="50" t="s">
        <v>311</v>
      </c>
      <c r="G116" s="60" t="s">
        <v>87</v>
      </c>
      <c r="H116" s="67">
        <v>1000</v>
      </c>
      <c r="I116" s="63">
        <v>2000</v>
      </c>
      <c r="J116" s="26">
        <v>2000000</v>
      </c>
      <c r="K116" s="64"/>
    </row>
    <row r="117" spans="1:11">
      <c r="A117" s="53">
        <v>117</v>
      </c>
      <c r="B117" s="53">
        <v>5553</v>
      </c>
      <c r="C117" s="50" t="s">
        <v>199</v>
      </c>
      <c r="D117" s="50" t="s">
        <v>23</v>
      </c>
      <c r="E117" s="51" t="s">
        <v>86</v>
      </c>
      <c r="F117" s="50" t="s">
        <v>311</v>
      </c>
      <c r="G117" s="60" t="s">
        <v>87</v>
      </c>
      <c r="H117" s="67">
        <v>1000</v>
      </c>
      <c r="I117" s="63">
        <v>2000</v>
      </c>
      <c r="J117" s="26">
        <v>2000000</v>
      </c>
      <c r="K117" s="64"/>
    </row>
    <row r="118" spans="1:11">
      <c r="A118" s="53">
        <v>118</v>
      </c>
      <c r="B118" s="53">
        <v>5554</v>
      </c>
      <c r="C118" s="50" t="s">
        <v>200</v>
      </c>
      <c r="D118" s="50" t="s">
        <v>23</v>
      </c>
      <c r="E118" s="51" t="s">
        <v>86</v>
      </c>
      <c r="F118" s="50" t="s">
        <v>311</v>
      </c>
      <c r="G118" s="60" t="s">
        <v>87</v>
      </c>
      <c r="H118" s="67">
        <v>1000</v>
      </c>
      <c r="I118" s="63">
        <v>2000</v>
      </c>
      <c r="J118" s="26">
        <v>2000000</v>
      </c>
      <c r="K118" s="64"/>
    </row>
    <row r="119" spans="1:11">
      <c r="A119" s="53">
        <v>119</v>
      </c>
      <c r="B119" s="53">
        <v>5555</v>
      </c>
      <c r="C119" s="50" t="s">
        <v>201</v>
      </c>
      <c r="D119" s="50" t="s">
        <v>23</v>
      </c>
      <c r="E119" s="51" t="s">
        <v>86</v>
      </c>
      <c r="F119" s="50" t="s">
        <v>311</v>
      </c>
      <c r="G119" s="60" t="s">
        <v>87</v>
      </c>
      <c r="H119" s="67">
        <v>1000</v>
      </c>
      <c r="I119" s="63">
        <v>2000</v>
      </c>
      <c r="J119" s="26">
        <v>2000000</v>
      </c>
      <c r="K119" s="64"/>
    </row>
    <row r="120" spans="1:11">
      <c r="A120" s="53">
        <v>120</v>
      </c>
      <c r="B120" s="53">
        <v>5556</v>
      </c>
      <c r="C120" s="50" t="s">
        <v>202</v>
      </c>
      <c r="D120" s="50" t="s">
        <v>23</v>
      </c>
      <c r="E120" s="51" t="s">
        <v>86</v>
      </c>
      <c r="F120" s="50" t="s">
        <v>311</v>
      </c>
      <c r="G120" s="60" t="s">
        <v>87</v>
      </c>
      <c r="H120" s="67">
        <v>1000</v>
      </c>
      <c r="I120" s="63">
        <v>2000</v>
      </c>
      <c r="J120" s="26">
        <v>2000000</v>
      </c>
      <c r="K120" s="64"/>
    </row>
    <row r="121" spans="1:11">
      <c r="A121" s="53">
        <v>121</v>
      </c>
      <c r="B121" s="53">
        <v>5557</v>
      </c>
      <c r="C121" s="50" t="s">
        <v>203</v>
      </c>
      <c r="D121" s="50" t="s">
        <v>23</v>
      </c>
      <c r="E121" s="51" t="s">
        <v>86</v>
      </c>
      <c r="F121" s="50" t="s">
        <v>311</v>
      </c>
      <c r="G121" s="60" t="s">
        <v>87</v>
      </c>
      <c r="H121" s="67">
        <v>1000</v>
      </c>
      <c r="I121" s="63">
        <v>2000</v>
      </c>
      <c r="J121" s="26">
        <v>2000000</v>
      </c>
      <c r="K121" s="64"/>
    </row>
    <row r="122" spans="1:11">
      <c r="A122" s="53">
        <v>122</v>
      </c>
      <c r="B122" s="53">
        <v>5558</v>
      </c>
      <c r="C122" s="50" t="s">
        <v>204</v>
      </c>
      <c r="D122" s="50" t="s">
        <v>23</v>
      </c>
      <c r="E122" s="51" t="s">
        <v>86</v>
      </c>
      <c r="F122" s="50" t="s">
        <v>311</v>
      </c>
      <c r="G122" s="60" t="s">
        <v>87</v>
      </c>
      <c r="H122" s="67">
        <v>1000</v>
      </c>
      <c r="I122" s="63">
        <v>2000</v>
      </c>
      <c r="J122" s="26">
        <v>2000000</v>
      </c>
      <c r="K122" s="64"/>
    </row>
    <row r="123" spans="1:11">
      <c r="A123" s="53">
        <v>123</v>
      </c>
      <c r="B123" s="53">
        <v>5559</v>
      </c>
      <c r="C123" s="50" t="s">
        <v>205</v>
      </c>
      <c r="D123" s="50" t="s">
        <v>23</v>
      </c>
      <c r="E123" s="51" t="s">
        <v>86</v>
      </c>
      <c r="F123" s="50" t="s">
        <v>311</v>
      </c>
      <c r="G123" s="60" t="s">
        <v>87</v>
      </c>
      <c r="H123" s="67">
        <v>1000</v>
      </c>
      <c r="I123" s="63">
        <v>2000</v>
      </c>
      <c r="J123" s="26">
        <v>2000000</v>
      </c>
      <c r="K123" s="64"/>
    </row>
    <row r="124" spans="1:11">
      <c r="A124" s="53">
        <v>124</v>
      </c>
      <c r="B124" s="53">
        <v>5560</v>
      </c>
      <c r="C124" s="50" t="s">
        <v>206</v>
      </c>
      <c r="D124" s="50" t="s">
        <v>23</v>
      </c>
      <c r="E124" s="51" t="s">
        <v>86</v>
      </c>
      <c r="F124" s="50" t="s">
        <v>311</v>
      </c>
      <c r="G124" s="60" t="s">
        <v>87</v>
      </c>
      <c r="H124" s="67">
        <v>1000</v>
      </c>
      <c r="I124" s="63">
        <v>2000</v>
      </c>
      <c r="J124" s="26">
        <v>2000000</v>
      </c>
      <c r="K124" s="64"/>
    </row>
    <row r="125" spans="1:11">
      <c r="A125" s="53">
        <v>125</v>
      </c>
      <c r="B125" s="53">
        <v>5561</v>
      </c>
      <c r="C125" s="50" t="s">
        <v>207</v>
      </c>
      <c r="D125" s="50" t="s">
        <v>24</v>
      </c>
      <c r="E125" s="51" t="s">
        <v>86</v>
      </c>
      <c r="F125" s="50" t="s">
        <v>311</v>
      </c>
      <c r="G125" s="60" t="s">
        <v>87</v>
      </c>
      <c r="H125" s="67">
        <v>1000</v>
      </c>
      <c r="I125" s="63">
        <v>2000</v>
      </c>
      <c r="J125" s="26">
        <v>2000000</v>
      </c>
      <c r="K125" s="64"/>
    </row>
    <row r="126" spans="1:11">
      <c r="A126" s="53">
        <v>126</v>
      </c>
      <c r="B126" s="53">
        <v>5562</v>
      </c>
      <c r="C126" s="50" t="s">
        <v>208</v>
      </c>
      <c r="D126" s="50" t="s">
        <v>24</v>
      </c>
      <c r="E126" s="51" t="s">
        <v>86</v>
      </c>
      <c r="F126" s="50" t="s">
        <v>311</v>
      </c>
      <c r="G126" s="60" t="s">
        <v>87</v>
      </c>
      <c r="H126" s="67">
        <v>1000</v>
      </c>
      <c r="I126" s="63">
        <v>2000</v>
      </c>
      <c r="J126" s="26">
        <v>2000000</v>
      </c>
      <c r="K126" s="64"/>
    </row>
    <row r="127" spans="1:11">
      <c r="A127" s="53">
        <v>127</v>
      </c>
      <c r="B127" s="53">
        <v>5563</v>
      </c>
      <c r="C127" s="50" t="s">
        <v>209</v>
      </c>
      <c r="D127" s="50" t="s">
        <v>24</v>
      </c>
      <c r="E127" s="51" t="s">
        <v>86</v>
      </c>
      <c r="F127" s="50" t="s">
        <v>311</v>
      </c>
      <c r="G127" s="60" t="s">
        <v>87</v>
      </c>
      <c r="H127" s="67">
        <v>1000</v>
      </c>
      <c r="I127" s="63">
        <v>2000</v>
      </c>
      <c r="J127" s="26">
        <v>2000000</v>
      </c>
      <c r="K127" s="64"/>
    </row>
    <row r="128" spans="1:11">
      <c r="A128" s="53">
        <v>128</v>
      </c>
      <c r="B128" s="53">
        <v>5564</v>
      </c>
      <c r="C128" s="50" t="s">
        <v>210</v>
      </c>
      <c r="D128" s="50" t="s">
        <v>24</v>
      </c>
      <c r="E128" s="51" t="s">
        <v>86</v>
      </c>
      <c r="F128" s="50" t="s">
        <v>311</v>
      </c>
      <c r="G128" s="60" t="s">
        <v>87</v>
      </c>
      <c r="H128" s="67">
        <v>1000</v>
      </c>
      <c r="I128" s="63">
        <v>2000</v>
      </c>
      <c r="J128" s="26">
        <v>2000000</v>
      </c>
      <c r="K128" s="64"/>
    </row>
    <row r="129" spans="1:11">
      <c r="A129" s="53">
        <v>129</v>
      </c>
      <c r="B129" s="53">
        <v>5565</v>
      </c>
      <c r="C129" s="50" t="s">
        <v>211</v>
      </c>
      <c r="D129" s="50" t="s">
        <v>24</v>
      </c>
      <c r="E129" s="51" t="s">
        <v>86</v>
      </c>
      <c r="F129" s="50" t="s">
        <v>311</v>
      </c>
      <c r="G129" s="60" t="s">
        <v>87</v>
      </c>
      <c r="H129" s="67">
        <v>1000</v>
      </c>
      <c r="I129" s="63">
        <v>2000</v>
      </c>
      <c r="J129" s="26">
        <v>2000000</v>
      </c>
      <c r="K129" s="64"/>
    </row>
    <row r="130" spans="1:11">
      <c r="A130" s="53">
        <v>130</v>
      </c>
      <c r="B130" s="53">
        <v>5566</v>
      </c>
      <c r="C130" s="50" t="s">
        <v>212</v>
      </c>
      <c r="D130" s="50" t="s">
        <v>24</v>
      </c>
      <c r="E130" s="51" t="s">
        <v>86</v>
      </c>
      <c r="F130" s="50" t="s">
        <v>311</v>
      </c>
      <c r="G130" s="60" t="s">
        <v>87</v>
      </c>
      <c r="H130" s="67">
        <v>1000</v>
      </c>
      <c r="I130" s="63">
        <v>2000</v>
      </c>
      <c r="J130" s="26">
        <v>2000000</v>
      </c>
      <c r="K130" s="64"/>
    </row>
    <row r="131" spans="1:11">
      <c r="A131" s="53">
        <v>131</v>
      </c>
      <c r="B131" s="53">
        <v>5567</v>
      </c>
      <c r="C131" s="50" t="s">
        <v>213</v>
      </c>
      <c r="D131" s="50" t="s">
        <v>24</v>
      </c>
      <c r="E131" s="51" t="s">
        <v>86</v>
      </c>
      <c r="F131" s="50" t="s">
        <v>311</v>
      </c>
      <c r="G131" s="60" t="s">
        <v>87</v>
      </c>
      <c r="H131" s="67">
        <v>1000</v>
      </c>
      <c r="I131" s="63">
        <v>2000</v>
      </c>
      <c r="J131" s="26">
        <v>2000000</v>
      </c>
      <c r="K131" s="64"/>
    </row>
    <row r="132" spans="1:11">
      <c r="A132" s="53">
        <v>132</v>
      </c>
      <c r="B132" s="53">
        <v>5568</v>
      </c>
      <c r="C132" s="50" t="s">
        <v>214</v>
      </c>
      <c r="D132" s="50" t="s">
        <v>24</v>
      </c>
      <c r="E132" s="51" t="s">
        <v>86</v>
      </c>
      <c r="F132" s="50" t="s">
        <v>311</v>
      </c>
      <c r="G132" s="60" t="s">
        <v>87</v>
      </c>
      <c r="H132" s="67">
        <v>1000</v>
      </c>
      <c r="I132" s="63">
        <v>2000</v>
      </c>
      <c r="J132" s="26">
        <v>2000000</v>
      </c>
      <c r="K132" s="64"/>
    </row>
    <row r="133" spans="1:11">
      <c r="A133" s="53">
        <v>133</v>
      </c>
      <c r="B133" s="53">
        <v>5569</v>
      </c>
      <c r="C133" s="50" t="s">
        <v>215</v>
      </c>
      <c r="D133" s="50" t="s">
        <v>24</v>
      </c>
      <c r="E133" s="51" t="s">
        <v>86</v>
      </c>
      <c r="F133" s="50" t="s">
        <v>311</v>
      </c>
      <c r="G133" s="60" t="s">
        <v>87</v>
      </c>
      <c r="H133" s="67">
        <v>1000</v>
      </c>
      <c r="I133" s="63">
        <v>2000</v>
      </c>
      <c r="J133" s="26">
        <v>2000000</v>
      </c>
      <c r="K133" s="64"/>
    </row>
    <row r="134" spans="1:11">
      <c r="A134" s="53">
        <v>134</v>
      </c>
      <c r="B134" s="53">
        <v>5570</v>
      </c>
      <c r="C134" s="50" t="s">
        <v>216</v>
      </c>
      <c r="D134" s="50" t="s">
        <v>24</v>
      </c>
      <c r="E134" s="51" t="s">
        <v>86</v>
      </c>
      <c r="F134" s="50" t="s">
        <v>311</v>
      </c>
      <c r="G134" s="60" t="s">
        <v>87</v>
      </c>
      <c r="H134" s="67">
        <v>1000</v>
      </c>
      <c r="I134" s="63">
        <v>2000</v>
      </c>
      <c r="J134" s="26">
        <v>2000000</v>
      </c>
      <c r="K134" s="64"/>
    </row>
    <row r="135" spans="1:11">
      <c r="A135" s="53">
        <v>135</v>
      </c>
      <c r="B135" s="53">
        <v>5571</v>
      </c>
      <c r="C135" s="50" t="s">
        <v>217</v>
      </c>
      <c r="D135" s="50" t="s">
        <v>25</v>
      </c>
      <c r="E135" s="51" t="s">
        <v>86</v>
      </c>
      <c r="F135" s="50" t="s">
        <v>311</v>
      </c>
      <c r="G135" s="60" t="s">
        <v>87</v>
      </c>
      <c r="H135" s="67">
        <v>1000</v>
      </c>
      <c r="I135" s="63">
        <v>2000</v>
      </c>
      <c r="J135" s="26">
        <v>2000000</v>
      </c>
      <c r="K135" s="64"/>
    </row>
    <row r="136" spans="1:11">
      <c r="A136" s="53">
        <v>136</v>
      </c>
      <c r="B136" s="53">
        <v>5572</v>
      </c>
      <c r="C136" s="50" t="s">
        <v>218</v>
      </c>
      <c r="D136" s="50" t="s">
        <v>25</v>
      </c>
      <c r="E136" s="51" t="s">
        <v>86</v>
      </c>
      <c r="F136" s="50" t="s">
        <v>311</v>
      </c>
      <c r="G136" s="60" t="s">
        <v>87</v>
      </c>
      <c r="H136" s="67">
        <v>1000</v>
      </c>
      <c r="I136" s="63">
        <v>2000</v>
      </c>
      <c r="J136" s="26">
        <v>2000000</v>
      </c>
      <c r="K136" s="64"/>
    </row>
    <row r="137" spans="1:11">
      <c r="A137" s="53">
        <v>137</v>
      </c>
      <c r="B137" s="53">
        <v>5573</v>
      </c>
      <c r="C137" s="50" t="s">
        <v>219</v>
      </c>
      <c r="D137" s="50" t="s">
        <v>25</v>
      </c>
      <c r="E137" s="51" t="s">
        <v>86</v>
      </c>
      <c r="F137" s="50" t="s">
        <v>311</v>
      </c>
      <c r="G137" s="60" t="s">
        <v>87</v>
      </c>
      <c r="H137" s="67">
        <v>1000</v>
      </c>
      <c r="I137" s="63">
        <v>2000</v>
      </c>
      <c r="J137" s="26">
        <v>2000000</v>
      </c>
      <c r="K137" s="64"/>
    </row>
    <row r="138" spans="1:11">
      <c r="A138" s="53">
        <v>138</v>
      </c>
      <c r="B138" s="53">
        <v>5574</v>
      </c>
      <c r="C138" s="50" t="s">
        <v>220</v>
      </c>
      <c r="D138" s="50" t="s">
        <v>25</v>
      </c>
      <c r="E138" s="51" t="s">
        <v>86</v>
      </c>
      <c r="F138" s="50" t="s">
        <v>311</v>
      </c>
      <c r="G138" s="60" t="s">
        <v>87</v>
      </c>
      <c r="H138" s="67">
        <v>1000</v>
      </c>
      <c r="I138" s="63">
        <v>2000</v>
      </c>
      <c r="J138" s="26">
        <v>2000000</v>
      </c>
      <c r="K138" s="64"/>
    </row>
    <row r="139" spans="1:11">
      <c r="A139" s="53">
        <v>139</v>
      </c>
      <c r="B139" s="53">
        <v>5575</v>
      </c>
      <c r="C139" s="50" t="s">
        <v>221</v>
      </c>
      <c r="D139" s="50" t="s">
        <v>25</v>
      </c>
      <c r="E139" s="51" t="s">
        <v>86</v>
      </c>
      <c r="F139" s="50" t="s">
        <v>311</v>
      </c>
      <c r="G139" s="60" t="s">
        <v>87</v>
      </c>
      <c r="H139" s="67">
        <v>1000</v>
      </c>
      <c r="I139" s="63">
        <v>2000</v>
      </c>
      <c r="J139" s="26">
        <v>2000000</v>
      </c>
      <c r="K139" s="64"/>
    </row>
    <row r="140" spans="1:11">
      <c r="A140" s="53">
        <v>140</v>
      </c>
      <c r="B140" s="53">
        <v>5576</v>
      </c>
      <c r="C140" s="50" t="s">
        <v>222</v>
      </c>
      <c r="D140" s="50" t="s">
        <v>25</v>
      </c>
      <c r="E140" s="51" t="s">
        <v>86</v>
      </c>
      <c r="F140" s="50" t="s">
        <v>311</v>
      </c>
      <c r="G140" s="60" t="s">
        <v>87</v>
      </c>
      <c r="H140" s="67">
        <v>1000</v>
      </c>
      <c r="I140" s="63">
        <v>2000</v>
      </c>
      <c r="J140" s="26">
        <v>2000000</v>
      </c>
      <c r="K140" s="64"/>
    </row>
    <row r="141" spans="1:11">
      <c r="A141" s="53">
        <v>141</v>
      </c>
      <c r="B141" s="53">
        <v>5577</v>
      </c>
      <c r="C141" s="50" t="s">
        <v>223</v>
      </c>
      <c r="D141" s="50" t="s">
        <v>25</v>
      </c>
      <c r="E141" s="51" t="s">
        <v>86</v>
      </c>
      <c r="F141" s="50" t="s">
        <v>311</v>
      </c>
      <c r="G141" s="60" t="s">
        <v>87</v>
      </c>
      <c r="H141" s="67">
        <v>1000</v>
      </c>
      <c r="I141" s="63">
        <v>2000</v>
      </c>
      <c r="J141" s="26">
        <v>2000000</v>
      </c>
      <c r="K141" s="64"/>
    </row>
    <row r="142" spans="1:11">
      <c r="A142" s="53">
        <v>142</v>
      </c>
      <c r="B142" s="53">
        <v>5578</v>
      </c>
      <c r="C142" s="50" t="s">
        <v>224</v>
      </c>
      <c r="D142" s="50" t="s">
        <v>25</v>
      </c>
      <c r="E142" s="51" t="s">
        <v>86</v>
      </c>
      <c r="F142" s="50" t="s">
        <v>311</v>
      </c>
      <c r="G142" s="60" t="s">
        <v>87</v>
      </c>
      <c r="H142" s="67">
        <v>1000</v>
      </c>
      <c r="I142" s="63">
        <v>2000</v>
      </c>
      <c r="J142" s="26">
        <v>2000000</v>
      </c>
      <c r="K142" s="64"/>
    </row>
    <row r="143" spans="1:11">
      <c r="A143" s="53">
        <v>143</v>
      </c>
      <c r="B143" s="53">
        <v>5579</v>
      </c>
      <c r="C143" s="50" t="s">
        <v>225</v>
      </c>
      <c r="D143" s="50" t="s">
        <v>25</v>
      </c>
      <c r="E143" s="51" t="s">
        <v>86</v>
      </c>
      <c r="F143" s="50" t="s">
        <v>311</v>
      </c>
      <c r="G143" s="60" t="s">
        <v>87</v>
      </c>
      <c r="H143" s="67">
        <v>1000</v>
      </c>
      <c r="I143" s="63">
        <v>2000</v>
      </c>
      <c r="J143" s="26">
        <v>2000000</v>
      </c>
      <c r="K143" s="64"/>
    </row>
    <row r="144" spans="1:11">
      <c r="A144" s="53">
        <v>144</v>
      </c>
      <c r="B144" s="53">
        <v>5580</v>
      </c>
      <c r="C144" s="50" t="s">
        <v>226</v>
      </c>
      <c r="D144" s="50" t="s">
        <v>25</v>
      </c>
      <c r="E144" s="51" t="s">
        <v>86</v>
      </c>
      <c r="F144" s="50" t="s">
        <v>311</v>
      </c>
      <c r="G144" s="60" t="s">
        <v>87</v>
      </c>
      <c r="H144" s="67">
        <v>1000</v>
      </c>
      <c r="I144" s="63">
        <v>2000</v>
      </c>
      <c r="J144" s="26">
        <v>2000000</v>
      </c>
      <c r="K144" s="64"/>
    </row>
    <row r="145" spans="1:11">
      <c r="A145" s="53">
        <v>145</v>
      </c>
      <c r="B145" s="53">
        <v>5581</v>
      </c>
      <c r="C145" s="50" t="s">
        <v>227</v>
      </c>
      <c r="D145" s="50" t="s">
        <v>26</v>
      </c>
      <c r="E145" s="51" t="s">
        <v>86</v>
      </c>
      <c r="F145" s="50" t="s">
        <v>311</v>
      </c>
      <c r="G145" s="60" t="s">
        <v>87</v>
      </c>
      <c r="H145" s="67">
        <v>1000</v>
      </c>
      <c r="I145" s="63">
        <v>2000</v>
      </c>
      <c r="J145" s="26">
        <v>2000000</v>
      </c>
      <c r="K145" s="64"/>
    </row>
    <row r="146" spans="1:11">
      <c r="A146" s="53">
        <v>146</v>
      </c>
      <c r="B146" s="53">
        <v>5582</v>
      </c>
      <c r="C146" s="50" t="s">
        <v>228</v>
      </c>
      <c r="D146" s="50" t="s">
        <v>26</v>
      </c>
      <c r="E146" s="51" t="s">
        <v>86</v>
      </c>
      <c r="F146" s="50" t="s">
        <v>311</v>
      </c>
      <c r="G146" s="60" t="s">
        <v>87</v>
      </c>
      <c r="H146" s="67">
        <v>1000</v>
      </c>
      <c r="I146" s="63">
        <v>2000</v>
      </c>
      <c r="J146" s="26">
        <v>2000000</v>
      </c>
      <c r="K146" s="64"/>
    </row>
    <row r="147" spans="1:11">
      <c r="A147" s="53">
        <v>147</v>
      </c>
      <c r="B147" s="53">
        <v>5583</v>
      </c>
      <c r="C147" s="50" t="s">
        <v>229</v>
      </c>
      <c r="D147" s="50" t="s">
        <v>26</v>
      </c>
      <c r="E147" s="51" t="s">
        <v>86</v>
      </c>
      <c r="F147" s="50" t="s">
        <v>311</v>
      </c>
      <c r="G147" s="60" t="s">
        <v>87</v>
      </c>
      <c r="H147" s="67">
        <v>1000</v>
      </c>
      <c r="I147" s="63">
        <v>2000</v>
      </c>
      <c r="J147" s="26">
        <v>2000000</v>
      </c>
      <c r="K147" s="64"/>
    </row>
    <row r="148" spans="1:11">
      <c r="A148" s="53">
        <v>148</v>
      </c>
      <c r="B148" s="53">
        <v>5584</v>
      </c>
      <c r="C148" s="50" t="s">
        <v>230</v>
      </c>
      <c r="D148" s="50" t="s">
        <v>26</v>
      </c>
      <c r="E148" s="51" t="s">
        <v>86</v>
      </c>
      <c r="F148" s="50" t="s">
        <v>311</v>
      </c>
      <c r="G148" s="60" t="s">
        <v>87</v>
      </c>
      <c r="H148" s="67">
        <v>1000</v>
      </c>
      <c r="I148" s="63">
        <v>2000</v>
      </c>
      <c r="J148" s="26">
        <v>2000000</v>
      </c>
      <c r="K148" s="64"/>
    </row>
    <row r="149" spans="1:11">
      <c r="A149" s="53">
        <v>149</v>
      </c>
      <c r="B149" s="53">
        <v>5585</v>
      </c>
      <c r="C149" s="50" t="s">
        <v>231</v>
      </c>
      <c r="D149" s="50" t="s">
        <v>26</v>
      </c>
      <c r="E149" s="51" t="s">
        <v>86</v>
      </c>
      <c r="F149" s="50" t="s">
        <v>311</v>
      </c>
      <c r="G149" s="60" t="s">
        <v>87</v>
      </c>
      <c r="H149" s="67">
        <v>1000</v>
      </c>
      <c r="I149" s="63">
        <v>2000</v>
      </c>
      <c r="J149" s="26">
        <v>2000000</v>
      </c>
      <c r="K149" s="64"/>
    </row>
    <row r="150" spans="1:11">
      <c r="A150" s="53">
        <v>150</v>
      </c>
      <c r="B150" s="53">
        <v>5586</v>
      </c>
      <c r="C150" s="50" t="s">
        <v>232</v>
      </c>
      <c r="D150" s="50" t="s">
        <v>26</v>
      </c>
      <c r="E150" s="51" t="s">
        <v>86</v>
      </c>
      <c r="F150" s="50" t="s">
        <v>311</v>
      </c>
      <c r="G150" s="60" t="s">
        <v>87</v>
      </c>
      <c r="H150" s="67">
        <v>1000</v>
      </c>
      <c r="I150" s="63">
        <v>2000</v>
      </c>
      <c r="J150" s="26">
        <v>2000000</v>
      </c>
      <c r="K150" s="64"/>
    </row>
    <row r="151" spans="1:11">
      <c r="A151" s="53">
        <v>151</v>
      </c>
      <c r="B151" s="53">
        <v>5587</v>
      </c>
      <c r="C151" s="50" t="s">
        <v>233</v>
      </c>
      <c r="D151" s="50" t="s">
        <v>26</v>
      </c>
      <c r="E151" s="51" t="s">
        <v>86</v>
      </c>
      <c r="F151" s="50" t="s">
        <v>311</v>
      </c>
      <c r="G151" s="60" t="s">
        <v>87</v>
      </c>
      <c r="H151" s="67">
        <v>1000</v>
      </c>
      <c r="I151" s="63">
        <v>2000</v>
      </c>
      <c r="J151" s="26">
        <v>2000000</v>
      </c>
      <c r="K151" s="64"/>
    </row>
    <row r="152" spans="1:11">
      <c r="A152" s="53">
        <v>152</v>
      </c>
      <c r="B152" s="53">
        <v>5588</v>
      </c>
      <c r="C152" s="50" t="s">
        <v>234</v>
      </c>
      <c r="D152" s="50" t="s">
        <v>26</v>
      </c>
      <c r="E152" s="51" t="s">
        <v>86</v>
      </c>
      <c r="F152" s="50" t="s">
        <v>311</v>
      </c>
      <c r="G152" s="60" t="s">
        <v>87</v>
      </c>
      <c r="H152" s="67">
        <v>1000</v>
      </c>
      <c r="I152" s="63">
        <v>2000</v>
      </c>
      <c r="J152" s="26">
        <v>2000000</v>
      </c>
      <c r="K152" s="64"/>
    </row>
    <row r="153" spans="1:11">
      <c r="A153" s="53">
        <v>153</v>
      </c>
      <c r="B153" s="53">
        <v>5589</v>
      </c>
      <c r="C153" s="50" t="s">
        <v>235</v>
      </c>
      <c r="D153" s="50" t="s">
        <v>26</v>
      </c>
      <c r="E153" s="51" t="s">
        <v>86</v>
      </c>
      <c r="F153" s="50" t="s">
        <v>311</v>
      </c>
      <c r="G153" s="60" t="s">
        <v>87</v>
      </c>
      <c r="H153" s="67">
        <v>1000</v>
      </c>
      <c r="I153" s="63">
        <v>2000</v>
      </c>
      <c r="J153" s="26">
        <v>2000000</v>
      </c>
      <c r="K153" s="64"/>
    </row>
    <row r="154" spans="1:11">
      <c r="A154" s="53">
        <v>154</v>
      </c>
      <c r="B154" s="53">
        <v>5590</v>
      </c>
      <c r="C154" s="50" t="s">
        <v>236</v>
      </c>
      <c r="D154" s="50" t="s">
        <v>26</v>
      </c>
      <c r="E154" s="51" t="s">
        <v>86</v>
      </c>
      <c r="F154" s="50" t="s">
        <v>311</v>
      </c>
      <c r="G154" s="60" t="s">
        <v>87</v>
      </c>
      <c r="H154" s="67">
        <v>1000</v>
      </c>
      <c r="I154" s="63">
        <v>2000</v>
      </c>
      <c r="J154" s="26">
        <v>2000000</v>
      </c>
      <c r="K154" s="64"/>
    </row>
    <row r="155" spans="1:11">
      <c r="A155" s="53">
        <v>155</v>
      </c>
      <c r="B155" s="53">
        <v>5591</v>
      </c>
      <c r="C155" s="50" t="s">
        <v>237</v>
      </c>
      <c r="D155" s="50" t="s">
        <v>21</v>
      </c>
      <c r="E155" s="51" t="s">
        <v>94</v>
      </c>
      <c r="F155" s="50" t="s">
        <v>311</v>
      </c>
      <c r="G155" s="60" t="s">
        <v>87</v>
      </c>
      <c r="H155" s="67">
        <v>1000</v>
      </c>
      <c r="I155" s="63">
        <v>2000</v>
      </c>
      <c r="J155" s="26">
        <v>2000000</v>
      </c>
      <c r="K155" s="64"/>
    </row>
    <row r="156" spans="1:11">
      <c r="A156" s="53">
        <v>156</v>
      </c>
      <c r="B156" s="53">
        <v>5592</v>
      </c>
      <c r="C156" s="50" t="s">
        <v>238</v>
      </c>
      <c r="D156" s="50" t="s">
        <v>21</v>
      </c>
      <c r="E156" s="51" t="s">
        <v>94</v>
      </c>
      <c r="F156" s="50" t="s">
        <v>311</v>
      </c>
      <c r="G156" s="60" t="s">
        <v>87</v>
      </c>
      <c r="H156" s="67">
        <v>1000</v>
      </c>
      <c r="I156" s="63">
        <v>2000</v>
      </c>
      <c r="J156" s="26">
        <v>2000000</v>
      </c>
      <c r="K156" s="64"/>
    </row>
    <row r="157" spans="1:11">
      <c r="A157" s="53">
        <v>157</v>
      </c>
      <c r="B157" s="53">
        <v>5593</v>
      </c>
      <c r="C157" s="50" t="s">
        <v>239</v>
      </c>
      <c r="D157" s="50" t="s">
        <v>21</v>
      </c>
      <c r="E157" s="51" t="s">
        <v>94</v>
      </c>
      <c r="F157" s="50" t="s">
        <v>311</v>
      </c>
      <c r="G157" s="60" t="s">
        <v>87</v>
      </c>
      <c r="H157" s="67">
        <v>1000</v>
      </c>
      <c r="I157" s="63">
        <v>2000</v>
      </c>
      <c r="J157" s="26">
        <v>2000000</v>
      </c>
      <c r="K157" s="64"/>
    </row>
    <row r="158" spans="1:11">
      <c r="A158" s="53">
        <v>158</v>
      </c>
      <c r="B158" s="53">
        <v>5594</v>
      </c>
      <c r="C158" s="50" t="s">
        <v>240</v>
      </c>
      <c r="D158" s="50" t="s">
        <v>21</v>
      </c>
      <c r="E158" s="51" t="s">
        <v>94</v>
      </c>
      <c r="F158" s="50" t="s">
        <v>311</v>
      </c>
      <c r="G158" s="60" t="s">
        <v>87</v>
      </c>
      <c r="H158" s="67">
        <v>1000</v>
      </c>
      <c r="I158" s="63">
        <v>2000</v>
      </c>
      <c r="J158" s="26">
        <v>2000000</v>
      </c>
      <c r="K158" s="64"/>
    </row>
    <row r="159" spans="1:11">
      <c r="A159" s="53">
        <v>159</v>
      </c>
      <c r="B159" s="53">
        <v>5595</v>
      </c>
      <c r="C159" s="50" t="s">
        <v>241</v>
      </c>
      <c r="D159" s="50" t="s">
        <v>21</v>
      </c>
      <c r="E159" s="51" t="s">
        <v>94</v>
      </c>
      <c r="F159" s="50" t="s">
        <v>311</v>
      </c>
      <c r="G159" s="60" t="s">
        <v>87</v>
      </c>
      <c r="H159" s="67">
        <v>1000</v>
      </c>
      <c r="I159" s="63">
        <v>2000</v>
      </c>
      <c r="J159" s="26">
        <v>2000000</v>
      </c>
      <c r="K159" s="64"/>
    </row>
    <row r="160" spans="1:11">
      <c r="A160" s="53">
        <v>160</v>
      </c>
      <c r="B160" s="53">
        <v>5596</v>
      </c>
      <c r="C160" s="50" t="s">
        <v>242</v>
      </c>
      <c r="D160" s="50" t="s">
        <v>21</v>
      </c>
      <c r="E160" s="51" t="s">
        <v>94</v>
      </c>
      <c r="F160" s="50" t="s">
        <v>311</v>
      </c>
      <c r="G160" s="60" t="s">
        <v>87</v>
      </c>
      <c r="H160" s="67">
        <v>1000</v>
      </c>
      <c r="I160" s="63">
        <v>2000</v>
      </c>
      <c r="J160" s="26">
        <v>2000000</v>
      </c>
      <c r="K160" s="64"/>
    </row>
    <row r="161" spans="1:11">
      <c r="A161" s="53">
        <v>161</v>
      </c>
      <c r="B161" s="53">
        <v>5597</v>
      </c>
      <c r="C161" s="50" t="s">
        <v>243</v>
      </c>
      <c r="D161" s="50" t="s">
        <v>21</v>
      </c>
      <c r="E161" s="51" t="s">
        <v>94</v>
      </c>
      <c r="F161" s="50" t="s">
        <v>311</v>
      </c>
      <c r="G161" s="60" t="s">
        <v>87</v>
      </c>
      <c r="H161" s="67">
        <v>1000</v>
      </c>
      <c r="I161" s="63">
        <v>2000</v>
      </c>
      <c r="J161" s="26">
        <v>2000000</v>
      </c>
      <c r="K161" s="64"/>
    </row>
    <row r="162" spans="1:11">
      <c r="A162" s="53">
        <v>162</v>
      </c>
      <c r="B162" s="53">
        <v>5598</v>
      </c>
      <c r="C162" s="50" t="s">
        <v>244</v>
      </c>
      <c r="D162" s="50" t="s">
        <v>21</v>
      </c>
      <c r="E162" s="51" t="s">
        <v>94</v>
      </c>
      <c r="F162" s="50" t="s">
        <v>311</v>
      </c>
      <c r="G162" s="60" t="s">
        <v>87</v>
      </c>
      <c r="H162" s="67">
        <v>1000</v>
      </c>
      <c r="I162" s="63">
        <v>2000</v>
      </c>
      <c r="J162" s="26">
        <v>2000000</v>
      </c>
      <c r="K162" s="64"/>
    </row>
    <row r="163" spans="1:11">
      <c r="A163" s="53">
        <v>163</v>
      </c>
      <c r="B163" s="53">
        <v>5599</v>
      </c>
      <c r="C163" s="50" t="s">
        <v>245</v>
      </c>
      <c r="D163" s="50" t="s">
        <v>21</v>
      </c>
      <c r="E163" s="51" t="s">
        <v>94</v>
      </c>
      <c r="F163" s="50" t="s">
        <v>311</v>
      </c>
      <c r="G163" s="60" t="s">
        <v>87</v>
      </c>
      <c r="H163" s="67">
        <v>1000</v>
      </c>
      <c r="I163" s="63">
        <v>2000</v>
      </c>
      <c r="J163" s="26">
        <v>2000000</v>
      </c>
      <c r="K163" s="64"/>
    </row>
    <row r="164" spans="1:11">
      <c r="A164" s="53">
        <v>164</v>
      </c>
      <c r="B164" s="53">
        <v>5600</v>
      </c>
      <c r="C164" s="50" t="s">
        <v>246</v>
      </c>
      <c r="D164" s="50" t="s">
        <v>21</v>
      </c>
      <c r="E164" s="51" t="s">
        <v>94</v>
      </c>
      <c r="F164" s="50" t="s">
        <v>311</v>
      </c>
      <c r="G164" s="60" t="s">
        <v>87</v>
      </c>
      <c r="H164" s="67">
        <v>1000</v>
      </c>
      <c r="I164" s="63">
        <v>2000</v>
      </c>
      <c r="J164" s="26">
        <v>2000000</v>
      </c>
      <c r="K164" s="64"/>
    </row>
    <row r="165" spans="1:11">
      <c r="A165" s="53">
        <v>165</v>
      </c>
      <c r="B165" s="53">
        <v>5601</v>
      </c>
      <c r="C165" s="50" t="s">
        <v>247</v>
      </c>
      <c r="D165" s="50" t="s">
        <v>22</v>
      </c>
      <c r="E165" s="51" t="s">
        <v>94</v>
      </c>
      <c r="F165" s="50" t="s">
        <v>311</v>
      </c>
      <c r="G165" s="60" t="s">
        <v>87</v>
      </c>
      <c r="H165" s="67">
        <v>1000</v>
      </c>
      <c r="I165" s="63">
        <v>2000</v>
      </c>
      <c r="J165" s="26">
        <v>2000000</v>
      </c>
      <c r="K165" s="64"/>
    </row>
    <row r="166" spans="1:11">
      <c r="A166" s="53">
        <v>166</v>
      </c>
      <c r="B166" s="53">
        <v>5602</v>
      </c>
      <c r="C166" s="50" t="s">
        <v>248</v>
      </c>
      <c r="D166" s="50" t="s">
        <v>22</v>
      </c>
      <c r="E166" s="51" t="s">
        <v>94</v>
      </c>
      <c r="F166" s="50" t="s">
        <v>311</v>
      </c>
      <c r="G166" s="60" t="s">
        <v>87</v>
      </c>
      <c r="H166" s="67">
        <v>1000</v>
      </c>
      <c r="I166" s="63">
        <v>2000</v>
      </c>
      <c r="J166" s="26">
        <v>2000000</v>
      </c>
      <c r="K166" s="64"/>
    </row>
    <row r="167" spans="1:11">
      <c r="A167" s="53">
        <v>167</v>
      </c>
      <c r="B167" s="53">
        <v>5603</v>
      </c>
      <c r="C167" s="50" t="s">
        <v>249</v>
      </c>
      <c r="D167" s="50" t="s">
        <v>22</v>
      </c>
      <c r="E167" s="51" t="s">
        <v>94</v>
      </c>
      <c r="F167" s="50" t="s">
        <v>311</v>
      </c>
      <c r="G167" s="60" t="s">
        <v>87</v>
      </c>
      <c r="H167" s="67">
        <v>1000</v>
      </c>
      <c r="I167" s="63">
        <v>2000</v>
      </c>
      <c r="J167" s="26">
        <v>2000000</v>
      </c>
      <c r="K167" s="64"/>
    </row>
    <row r="168" spans="1:11">
      <c r="A168" s="53">
        <v>168</v>
      </c>
      <c r="B168" s="53">
        <v>5604</v>
      </c>
      <c r="C168" s="50" t="s">
        <v>250</v>
      </c>
      <c r="D168" s="50" t="s">
        <v>22</v>
      </c>
      <c r="E168" s="51" t="s">
        <v>94</v>
      </c>
      <c r="F168" s="50" t="s">
        <v>311</v>
      </c>
      <c r="G168" s="60" t="s">
        <v>87</v>
      </c>
      <c r="H168" s="67">
        <v>1000</v>
      </c>
      <c r="I168" s="63">
        <v>2000</v>
      </c>
      <c r="J168" s="26">
        <v>2000000</v>
      </c>
      <c r="K168" s="64"/>
    </row>
    <row r="169" spans="1:11">
      <c r="A169" s="53">
        <v>169</v>
      </c>
      <c r="B169" s="53">
        <v>5605</v>
      </c>
      <c r="C169" s="50" t="s">
        <v>251</v>
      </c>
      <c r="D169" s="50" t="s">
        <v>22</v>
      </c>
      <c r="E169" s="51" t="s">
        <v>94</v>
      </c>
      <c r="F169" s="50" t="s">
        <v>311</v>
      </c>
      <c r="G169" s="60" t="s">
        <v>87</v>
      </c>
      <c r="H169" s="67">
        <v>1000</v>
      </c>
      <c r="I169" s="63">
        <v>2000</v>
      </c>
      <c r="J169" s="26">
        <v>2000000</v>
      </c>
      <c r="K169" s="64"/>
    </row>
    <row r="170" spans="1:11">
      <c r="A170" s="53">
        <v>170</v>
      </c>
      <c r="B170" s="53">
        <v>5606</v>
      </c>
      <c r="C170" s="50" t="s">
        <v>252</v>
      </c>
      <c r="D170" s="50" t="s">
        <v>22</v>
      </c>
      <c r="E170" s="51" t="s">
        <v>94</v>
      </c>
      <c r="F170" s="50" t="s">
        <v>311</v>
      </c>
      <c r="G170" s="60" t="s">
        <v>87</v>
      </c>
      <c r="H170" s="67">
        <v>1000</v>
      </c>
      <c r="I170" s="63">
        <v>2000</v>
      </c>
      <c r="J170" s="26">
        <v>2000000</v>
      </c>
      <c r="K170" s="64"/>
    </row>
    <row r="171" spans="1:11">
      <c r="A171" s="53">
        <v>171</v>
      </c>
      <c r="B171" s="53">
        <v>5607</v>
      </c>
      <c r="C171" s="50" t="s">
        <v>253</v>
      </c>
      <c r="D171" s="50" t="s">
        <v>22</v>
      </c>
      <c r="E171" s="51" t="s">
        <v>94</v>
      </c>
      <c r="F171" s="50" t="s">
        <v>311</v>
      </c>
      <c r="G171" s="60" t="s">
        <v>87</v>
      </c>
      <c r="H171" s="67">
        <v>1000</v>
      </c>
      <c r="I171" s="63">
        <v>2000</v>
      </c>
      <c r="J171" s="26">
        <v>2000000</v>
      </c>
      <c r="K171" s="64"/>
    </row>
    <row r="172" spans="1:11">
      <c r="A172" s="53">
        <v>172</v>
      </c>
      <c r="B172" s="53">
        <v>5608</v>
      </c>
      <c r="C172" s="50" t="s">
        <v>254</v>
      </c>
      <c r="D172" s="50" t="s">
        <v>22</v>
      </c>
      <c r="E172" s="51" t="s">
        <v>94</v>
      </c>
      <c r="F172" s="50" t="s">
        <v>311</v>
      </c>
      <c r="G172" s="60" t="s">
        <v>87</v>
      </c>
      <c r="H172" s="67">
        <v>1000</v>
      </c>
      <c r="I172" s="63">
        <v>2000</v>
      </c>
      <c r="J172" s="26">
        <v>2000000</v>
      </c>
      <c r="K172" s="64"/>
    </row>
    <row r="173" spans="1:11">
      <c r="A173" s="53">
        <v>173</v>
      </c>
      <c r="B173" s="53">
        <v>5609</v>
      </c>
      <c r="C173" s="50" t="s">
        <v>255</v>
      </c>
      <c r="D173" s="50" t="s">
        <v>22</v>
      </c>
      <c r="E173" s="51" t="s">
        <v>94</v>
      </c>
      <c r="F173" s="50" t="s">
        <v>311</v>
      </c>
      <c r="G173" s="60" t="s">
        <v>87</v>
      </c>
      <c r="H173" s="67">
        <v>1000</v>
      </c>
      <c r="I173" s="63">
        <v>2000</v>
      </c>
      <c r="J173" s="26">
        <v>2000000</v>
      </c>
      <c r="K173" s="64"/>
    </row>
    <row r="174" spans="1:11">
      <c r="A174" s="53">
        <v>174</v>
      </c>
      <c r="B174" s="53">
        <v>5610</v>
      </c>
      <c r="C174" s="50" t="s">
        <v>256</v>
      </c>
      <c r="D174" s="50" t="s">
        <v>22</v>
      </c>
      <c r="E174" s="51" t="s">
        <v>94</v>
      </c>
      <c r="F174" s="50" t="s">
        <v>311</v>
      </c>
      <c r="G174" s="60" t="s">
        <v>87</v>
      </c>
      <c r="H174" s="67">
        <v>1000</v>
      </c>
      <c r="I174" s="63">
        <v>2000</v>
      </c>
      <c r="J174" s="26">
        <v>2000000</v>
      </c>
      <c r="K174" s="64"/>
    </row>
    <row r="175" spans="1:11">
      <c r="A175" s="53">
        <v>175</v>
      </c>
      <c r="B175" s="53">
        <v>5611</v>
      </c>
      <c r="C175" s="50" t="s">
        <v>257</v>
      </c>
      <c r="D175" s="50" t="s">
        <v>23</v>
      </c>
      <c r="E175" s="51" t="s">
        <v>94</v>
      </c>
      <c r="F175" s="50" t="s">
        <v>311</v>
      </c>
      <c r="G175" s="60" t="s">
        <v>87</v>
      </c>
      <c r="H175" s="67">
        <v>1000</v>
      </c>
      <c r="I175" s="63">
        <v>2000</v>
      </c>
      <c r="J175" s="26">
        <v>2000000</v>
      </c>
      <c r="K175" s="64"/>
    </row>
    <row r="176" spans="1:11">
      <c r="A176" s="53">
        <v>176</v>
      </c>
      <c r="B176" s="53">
        <v>5612</v>
      </c>
      <c r="C176" s="50" t="s">
        <v>258</v>
      </c>
      <c r="D176" s="50" t="s">
        <v>21</v>
      </c>
      <c r="E176" s="51" t="s">
        <v>86</v>
      </c>
      <c r="F176" s="50" t="s">
        <v>311</v>
      </c>
      <c r="G176" s="60" t="s">
        <v>87</v>
      </c>
      <c r="H176" s="67">
        <v>1000</v>
      </c>
      <c r="I176" s="63">
        <v>2000</v>
      </c>
      <c r="J176" s="26">
        <v>2000000</v>
      </c>
      <c r="K176" s="64"/>
    </row>
    <row r="177" spans="1:11">
      <c r="A177" s="53">
        <v>177</v>
      </c>
      <c r="B177" s="53">
        <v>5613</v>
      </c>
      <c r="C177" s="50" t="s">
        <v>259</v>
      </c>
      <c r="D177" s="50" t="s">
        <v>21</v>
      </c>
      <c r="E177" s="51" t="s">
        <v>86</v>
      </c>
      <c r="F177" s="50" t="s">
        <v>311</v>
      </c>
      <c r="G177" s="60" t="s">
        <v>87</v>
      </c>
      <c r="H177" s="67">
        <v>1000</v>
      </c>
      <c r="I177" s="63">
        <v>2000</v>
      </c>
      <c r="J177" s="26">
        <v>2000000</v>
      </c>
      <c r="K177" s="64"/>
    </row>
    <row r="178" spans="1:11">
      <c r="A178" s="53">
        <v>178</v>
      </c>
      <c r="B178" s="53">
        <v>5614</v>
      </c>
      <c r="C178" s="50" t="s">
        <v>260</v>
      </c>
      <c r="D178" s="50" t="s">
        <v>21</v>
      </c>
      <c r="E178" s="51" t="s">
        <v>86</v>
      </c>
      <c r="F178" s="50" t="s">
        <v>311</v>
      </c>
      <c r="G178" s="60" t="s">
        <v>87</v>
      </c>
      <c r="H178" s="67">
        <v>1000</v>
      </c>
      <c r="I178" s="63">
        <v>2000</v>
      </c>
      <c r="J178" s="26">
        <v>2000000</v>
      </c>
      <c r="K178" s="64"/>
    </row>
    <row r="179" spans="1:11">
      <c r="A179" s="53">
        <v>179</v>
      </c>
      <c r="B179" s="53">
        <v>5615</v>
      </c>
      <c r="C179" s="50" t="s">
        <v>261</v>
      </c>
      <c r="D179" s="50" t="s">
        <v>21</v>
      </c>
      <c r="E179" s="51" t="s">
        <v>86</v>
      </c>
      <c r="F179" s="50" t="s">
        <v>311</v>
      </c>
      <c r="G179" s="60" t="s">
        <v>87</v>
      </c>
      <c r="H179" s="67">
        <v>1000</v>
      </c>
      <c r="I179" s="63">
        <v>2000</v>
      </c>
      <c r="J179" s="26">
        <v>2000000</v>
      </c>
      <c r="K179" s="64"/>
    </row>
    <row r="180" spans="1:11">
      <c r="A180" s="53">
        <v>180</v>
      </c>
      <c r="B180" s="53">
        <v>5616</v>
      </c>
      <c r="C180" s="50" t="s">
        <v>262</v>
      </c>
      <c r="D180" s="50" t="s">
        <v>21</v>
      </c>
      <c r="E180" s="51" t="s">
        <v>86</v>
      </c>
      <c r="F180" s="50" t="s">
        <v>311</v>
      </c>
      <c r="G180" s="60" t="s">
        <v>87</v>
      </c>
      <c r="H180" s="67">
        <v>1000</v>
      </c>
      <c r="I180" s="63">
        <v>2000</v>
      </c>
      <c r="J180" s="26">
        <v>2000000</v>
      </c>
      <c r="K180" s="64"/>
    </row>
    <row r="181" spans="1:11">
      <c r="A181" s="53">
        <v>181</v>
      </c>
      <c r="B181" s="53">
        <v>5617</v>
      </c>
      <c r="C181" s="50" t="s">
        <v>263</v>
      </c>
      <c r="D181" s="50" t="s">
        <v>21</v>
      </c>
      <c r="E181" s="51" t="s">
        <v>86</v>
      </c>
      <c r="F181" s="50" t="s">
        <v>311</v>
      </c>
      <c r="G181" s="60" t="s">
        <v>87</v>
      </c>
      <c r="H181" s="67">
        <v>1000</v>
      </c>
      <c r="I181" s="63">
        <v>2000</v>
      </c>
      <c r="J181" s="26">
        <v>2000000</v>
      </c>
      <c r="K181" s="64"/>
    </row>
    <row r="182" spans="1:11">
      <c r="A182" s="53">
        <v>182</v>
      </c>
      <c r="B182" s="53">
        <v>5618</v>
      </c>
      <c r="C182" s="50" t="s">
        <v>264</v>
      </c>
      <c r="D182" s="50" t="s">
        <v>21</v>
      </c>
      <c r="E182" s="51" t="s">
        <v>86</v>
      </c>
      <c r="F182" s="50" t="s">
        <v>311</v>
      </c>
      <c r="G182" s="60" t="s">
        <v>87</v>
      </c>
      <c r="H182" s="67">
        <v>1000</v>
      </c>
      <c r="I182" s="63">
        <v>2000</v>
      </c>
      <c r="J182" s="26">
        <v>2000000</v>
      </c>
      <c r="K182" s="64"/>
    </row>
    <row r="183" spans="1:11">
      <c r="A183" s="54">
        <v>183</v>
      </c>
      <c r="B183" s="54">
        <v>5619</v>
      </c>
      <c r="C183" s="55" t="s">
        <v>265</v>
      </c>
      <c r="D183" s="55" t="s">
        <v>21</v>
      </c>
      <c r="E183" s="56" t="s">
        <v>86</v>
      </c>
      <c r="F183" s="55" t="s">
        <v>311</v>
      </c>
      <c r="G183" s="61" t="s">
        <v>87</v>
      </c>
      <c r="H183" s="68">
        <v>1000</v>
      </c>
      <c r="I183" s="65">
        <v>2000</v>
      </c>
      <c r="J183" s="57">
        <v>2000000</v>
      </c>
      <c r="K183" s="66"/>
    </row>
  </sheetData>
  <sortState xmlns:xlrd2="http://schemas.microsoft.com/office/spreadsheetml/2017/richdata2" ref="A4:K4">
    <sortCondition ref="A3"/>
  </sortState>
  <phoneticPr fontId="1"/>
  <dataValidations count="2">
    <dataValidation type="list" allowBlank="1" showInputMessage="1" showErrorMessage="1" sqref="F3" xr:uid="{B9DC3237-5F63-4FBB-9A2F-6BDBD29A7FDF}">
      <formula1>"発行見込,繰り越し"</formula1>
    </dataValidation>
    <dataValidation type="list" allowBlank="1" showInputMessage="1" showErrorMessage="1" sqref="F4:F183" xr:uid="{6CF38DC4-89F4-450D-AE4F-841C82E19341}">
      <formula1>"見込,繰越"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マクロ_更新">
                <anchor moveWithCells="1">
                  <from>
                    <xdr:col>11</xdr:col>
                    <xdr:colOff>209550</xdr:colOff>
                    <xdr:row>0</xdr:row>
                    <xdr:rowOff>19050</xdr:rowOff>
                  </from>
                  <to>
                    <xdr:col>12</xdr:col>
                    <xdr:colOff>638175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マクロ_戻る">
                <anchor moveWithCells="1">
                  <from>
                    <xdr:col>13</xdr:col>
                    <xdr:colOff>38100</xdr:colOff>
                    <xdr:row>0</xdr:row>
                    <xdr:rowOff>19050</xdr:rowOff>
                  </from>
                  <to>
                    <xdr:col>14</xdr:col>
                    <xdr:colOff>466725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C7-9FEF-4757-9F5B-17DA5B3A8F0E}">
  <sheetPr codeName="mstSheet"/>
  <dimension ref="A1:C24"/>
  <sheetViews>
    <sheetView workbookViewId="0">
      <selection activeCell="E29" sqref="E29"/>
    </sheetView>
  </sheetViews>
  <sheetFormatPr defaultRowHeight="15.75"/>
  <cols>
    <col min="1" max="1" width="4.88671875" style="1" bestFit="1" customWidth="1"/>
    <col min="2" max="2" width="8.88671875" style="1"/>
  </cols>
  <sheetData>
    <row r="1" spans="1:3">
      <c r="A1" s="3" t="s">
        <v>8</v>
      </c>
      <c r="B1" s="3" t="s">
        <v>10</v>
      </c>
      <c r="C1" s="7">
        <v>2</v>
      </c>
    </row>
    <row r="2" spans="1:3">
      <c r="A2" s="2" t="s">
        <v>9</v>
      </c>
      <c r="B2" s="2" t="s">
        <v>14</v>
      </c>
      <c r="C2" s="6"/>
    </row>
    <row r="3" spans="1:3">
      <c r="A3" s="2" t="s">
        <v>10</v>
      </c>
      <c r="B3" s="2" t="s">
        <v>12</v>
      </c>
      <c r="C3" s="6" t="str">
        <f>A3&amp;":"&amp;B3</f>
        <v>1:追加</v>
      </c>
    </row>
    <row r="4" spans="1:3">
      <c r="A4" s="2" t="s">
        <v>11</v>
      </c>
      <c r="B4" s="2" t="s">
        <v>13</v>
      </c>
      <c r="C4" s="6" t="str">
        <f>A4&amp;":"&amp;B4</f>
        <v>2:削除</v>
      </c>
    </row>
    <row r="5" spans="1:3">
      <c r="A5" s="3" t="s">
        <v>39</v>
      </c>
      <c r="B5" s="3" t="s">
        <v>40</v>
      </c>
      <c r="C5" s="7"/>
    </row>
    <row r="6" spans="1:3">
      <c r="A6" s="2" t="s">
        <v>21</v>
      </c>
      <c r="B6" s="2" t="s">
        <v>27</v>
      </c>
      <c r="C6" s="6"/>
    </row>
    <row r="7" spans="1:3">
      <c r="A7" s="2" t="s">
        <v>22</v>
      </c>
      <c r="B7" s="2" t="s">
        <v>28</v>
      </c>
      <c r="C7" s="6"/>
    </row>
    <row r="8" spans="1:3">
      <c r="A8" s="2" t="s">
        <v>23</v>
      </c>
      <c r="B8" s="2" t="s">
        <v>29</v>
      </c>
      <c r="C8" s="6"/>
    </row>
    <row r="9" spans="1:3">
      <c r="A9" s="2" t="s">
        <v>24</v>
      </c>
      <c r="B9" s="2" t="s">
        <v>30</v>
      </c>
      <c r="C9" s="6"/>
    </row>
    <row r="10" spans="1:3">
      <c r="A10" s="2" t="s">
        <v>25</v>
      </c>
      <c r="B10" s="2" t="s">
        <v>31</v>
      </c>
      <c r="C10" s="6"/>
    </row>
    <row r="11" spans="1:3">
      <c r="A11" s="15" t="s">
        <v>26</v>
      </c>
      <c r="B11" s="15" t="s">
        <v>32</v>
      </c>
      <c r="C11" s="14"/>
    </row>
    <row r="12" spans="1:3">
      <c r="A12" s="3" t="s">
        <v>41</v>
      </c>
      <c r="B12" s="3" t="s">
        <v>42</v>
      </c>
      <c r="C12" s="7" t="s">
        <v>43</v>
      </c>
    </row>
    <row r="13" spans="1:3">
      <c r="A13" s="2" t="s">
        <v>44</v>
      </c>
      <c r="B13" s="2" t="s">
        <v>45</v>
      </c>
      <c r="C13" s="6" t="s">
        <v>46</v>
      </c>
    </row>
    <row r="14" spans="1:3">
      <c r="A14" s="2" t="s">
        <v>44</v>
      </c>
      <c r="B14" s="2" t="s">
        <v>47</v>
      </c>
      <c r="C14" s="6" t="s">
        <v>48</v>
      </c>
    </row>
    <row r="15" spans="1:3">
      <c r="A15" s="2" t="s">
        <v>44</v>
      </c>
      <c r="B15" s="2" t="s">
        <v>49</v>
      </c>
      <c r="C15" s="6" t="s">
        <v>50</v>
      </c>
    </row>
    <row r="16" spans="1:3">
      <c r="A16" s="2" t="s">
        <v>44</v>
      </c>
      <c r="B16" s="2" t="s">
        <v>51</v>
      </c>
      <c r="C16" s="6" t="s">
        <v>52</v>
      </c>
    </row>
    <row r="17" spans="1:3">
      <c r="A17" s="2" t="s">
        <v>44</v>
      </c>
      <c r="B17" s="2" t="s">
        <v>53</v>
      </c>
      <c r="C17" s="6" t="s">
        <v>54</v>
      </c>
    </row>
    <row r="18" spans="1:3">
      <c r="A18" s="2" t="s">
        <v>44</v>
      </c>
      <c r="B18" s="2" t="s">
        <v>55</v>
      </c>
      <c r="C18" s="6" t="s">
        <v>56</v>
      </c>
    </row>
    <row r="19" spans="1:3">
      <c r="A19" s="2" t="s">
        <v>44</v>
      </c>
      <c r="B19" s="2" t="s">
        <v>57</v>
      </c>
      <c r="C19" s="6" t="s">
        <v>58</v>
      </c>
    </row>
    <row r="20" spans="1:3">
      <c r="A20" s="2" t="s">
        <v>44</v>
      </c>
      <c r="B20" s="2" t="s">
        <v>59</v>
      </c>
      <c r="C20" s="6" t="s">
        <v>60</v>
      </c>
    </row>
    <row r="21" spans="1:3">
      <c r="A21" s="2" t="s">
        <v>44</v>
      </c>
      <c r="B21" s="2" t="s">
        <v>61</v>
      </c>
      <c r="C21" s="6" t="s">
        <v>62</v>
      </c>
    </row>
    <row r="22" spans="1:3">
      <c r="A22" s="2" t="s">
        <v>63</v>
      </c>
      <c r="B22" s="2" t="s">
        <v>64</v>
      </c>
      <c r="C22" s="6" t="s">
        <v>65</v>
      </c>
    </row>
    <row r="23" spans="1:3">
      <c r="A23" s="2" t="s">
        <v>63</v>
      </c>
      <c r="B23" s="2" t="s">
        <v>66</v>
      </c>
      <c r="C23" s="6" t="s">
        <v>67</v>
      </c>
    </row>
    <row r="24" spans="1:3">
      <c r="A24" s="2" t="s">
        <v>63</v>
      </c>
      <c r="B24" s="2" t="s">
        <v>68</v>
      </c>
      <c r="C24" s="6" t="s">
        <v>69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6FB85-EA87-45C8-A19D-F43AD2FE968A}">
  <sheetPr codeName="SQLSheet"/>
  <dimension ref="A1:A184"/>
  <sheetViews>
    <sheetView workbookViewId="0">
      <selection activeCell="L12" sqref="L12"/>
    </sheetView>
  </sheetViews>
  <sheetFormatPr defaultRowHeight="15.75"/>
  <sheetData>
    <row r="1" spans="1:1">
      <c r="A1" t="s">
        <v>283</v>
      </c>
    </row>
    <row r="2" spans="1:1">
      <c r="A2" t="s">
        <v>284</v>
      </c>
    </row>
    <row r="3" spans="1:1">
      <c r="A3" t="s">
        <v>312</v>
      </c>
    </row>
    <row r="4" spans="1:1">
      <c r="A4" t="s">
        <v>313</v>
      </c>
    </row>
    <row r="5" spans="1:1">
      <c r="A5" t="s">
        <v>314</v>
      </c>
    </row>
    <row r="6" spans="1:1">
      <c r="A6" t="s">
        <v>315</v>
      </c>
    </row>
    <row r="7" spans="1:1">
      <c r="A7" t="s">
        <v>316</v>
      </c>
    </row>
    <row r="8" spans="1:1">
      <c r="A8" t="s">
        <v>317</v>
      </c>
    </row>
    <row r="9" spans="1:1">
      <c r="A9" t="s">
        <v>318</v>
      </c>
    </row>
    <row r="10" spans="1:1">
      <c r="A10" t="s">
        <v>319</v>
      </c>
    </row>
    <row r="11" spans="1:1">
      <c r="A11" t="s">
        <v>320</v>
      </c>
    </row>
    <row r="12" spans="1:1">
      <c r="A12" t="s">
        <v>321</v>
      </c>
    </row>
    <row r="13" spans="1:1">
      <c r="A13" t="s">
        <v>322</v>
      </c>
    </row>
    <row r="14" spans="1:1">
      <c r="A14" t="s">
        <v>323</v>
      </c>
    </row>
    <row r="15" spans="1:1">
      <c r="A15" t="s">
        <v>324</v>
      </c>
    </row>
    <row r="16" spans="1:1">
      <c r="A16" t="s">
        <v>325</v>
      </c>
    </row>
    <row r="17" spans="1:1">
      <c r="A17" t="s">
        <v>326</v>
      </c>
    </row>
    <row r="18" spans="1:1">
      <c r="A18" t="s">
        <v>327</v>
      </c>
    </row>
    <row r="19" spans="1:1">
      <c r="A19" t="s">
        <v>328</v>
      </c>
    </row>
    <row r="20" spans="1:1">
      <c r="A20" t="s">
        <v>329</v>
      </c>
    </row>
    <row r="21" spans="1:1">
      <c r="A21" t="s">
        <v>330</v>
      </c>
    </row>
    <row r="22" spans="1:1">
      <c r="A22" t="s">
        <v>331</v>
      </c>
    </row>
    <row r="23" spans="1:1">
      <c r="A23" t="s">
        <v>332</v>
      </c>
    </row>
    <row r="24" spans="1:1">
      <c r="A24" t="s">
        <v>333</v>
      </c>
    </row>
    <row r="25" spans="1:1">
      <c r="A25" t="s">
        <v>334</v>
      </c>
    </row>
    <row r="26" spans="1:1">
      <c r="A26" t="s">
        <v>335</v>
      </c>
    </row>
    <row r="27" spans="1:1">
      <c r="A27" t="s">
        <v>336</v>
      </c>
    </row>
    <row r="28" spans="1:1">
      <c r="A28" t="s">
        <v>337</v>
      </c>
    </row>
    <row r="29" spans="1:1">
      <c r="A29" t="s">
        <v>338</v>
      </c>
    </row>
    <row r="30" spans="1:1">
      <c r="A30" t="s">
        <v>339</v>
      </c>
    </row>
    <row r="31" spans="1:1">
      <c r="A31" t="s">
        <v>340</v>
      </c>
    </row>
    <row r="32" spans="1:1">
      <c r="A32" t="s">
        <v>341</v>
      </c>
    </row>
    <row r="33" spans="1:1">
      <c r="A33" t="s">
        <v>342</v>
      </c>
    </row>
    <row r="34" spans="1:1">
      <c r="A34" t="s">
        <v>343</v>
      </c>
    </row>
    <row r="35" spans="1:1">
      <c r="A35" t="s">
        <v>344</v>
      </c>
    </row>
    <row r="36" spans="1:1">
      <c r="A36" t="s">
        <v>345</v>
      </c>
    </row>
    <row r="37" spans="1:1">
      <c r="A37" t="s">
        <v>346</v>
      </c>
    </row>
    <row r="38" spans="1:1">
      <c r="A38" t="s">
        <v>347</v>
      </c>
    </row>
    <row r="39" spans="1:1">
      <c r="A39" t="s">
        <v>348</v>
      </c>
    </row>
    <row r="40" spans="1:1">
      <c r="A40" t="s">
        <v>349</v>
      </c>
    </row>
    <row r="41" spans="1:1">
      <c r="A41" t="s">
        <v>350</v>
      </c>
    </row>
    <row r="42" spans="1:1">
      <c r="A42" t="s">
        <v>351</v>
      </c>
    </row>
    <row r="43" spans="1:1">
      <c r="A43" t="s">
        <v>352</v>
      </c>
    </row>
    <row r="44" spans="1:1">
      <c r="A44" t="s">
        <v>353</v>
      </c>
    </row>
    <row r="45" spans="1:1">
      <c r="A45" t="s">
        <v>354</v>
      </c>
    </row>
    <row r="46" spans="1:1">
      <c r="A46" t="s">
        <v>355</v>
      </c>
    </row>
    <row r="47" spans="1:1">
      <c r="A47" t="s">
        <v>356</v>
      </c>
    </row>
    <row r="48" spans="1:1">
      <c r="A48" t="s">
        <v>357</v>
      </c>
    </row>
    <row r="49" spans="1:1">
      <c r="A49" t="s">
        <v>358</v>
      </c>
    </row>
    <row r="50" spans="1:1">
      <c r="A50" t="s">
        <v>359</v>
      </c>
    </row>
    <row r="51" spans="1:1">
      <c r="A51" t="s">
        <v>360</v>
      </c>
    </row>
    <row r="52" spans="1:1">
      <c r="A52" t="s">
        <v>361</v>
      </c>
    </row>
    <row r="53" spans="1:1">
      <c r="A53" t="s">
        <v>362</v>
      </c>
    </row>
    <row r="54" spans="1:1">
      <c r="A54" t="s">
        <v>363</v>
      </c>
    </row>
    <row r="55" spans="1:1">
      <c r="A55" t="s">
        <v>364</v>
      </c>
    </row>
    <row r="56" spans="1:1">
      <c r="A56" t="s">
        <v>365</v>
      </c>
    </row>
    <row r="57" spans="1:1">
      <c r="A57" t="s">
        <v>366</v>
      </c>
    </row>
    <row r="58" spans="1:1">
      <c r="A58" t="s">
        <v>367</v>
      </c>
    </row>
    <row r="59" spans="1:1">
      <c r="A59" t="s">
        <v>368</v>
      </c>
    </row>
    <row r="60" spans="1:1">
      <c r="A60" t="s">
        <v>369</v>
      </c>
    </row>
    <row r="61" spans="1:1">
      <c r="A61" t="s">
        <v>370</v>
      </c>
    </row>
    <row r="62" spans="1:1">
      <c r="A62" t="s">
        <v>371</v>
      </c>
    </row>
    <row r="63" spans="1:1">
      <c r="A63" t="s">
        <v>372</v>
      </c>
    </row>
    <row r="64" spans="1:1">
      <c r="A64" t="s">
        <v>373</v>
      </c>
    </row>
    <row r="65" spans="1:1">
      <c r="A65" t="s">
        <v>374</v>
      </c>
    </row>
    <row r="66" spans="1:1">
      <c r="A66" t="s">
        <v>375</v>
      </c>
    </row>
    <row r="67" spans="1:1">
      <c r="A67" t="s">
        <v>376</v>
      </c>
    </row>
    <row r="68" spans="1:1">
      <c r="A68" t="s">
        <v>377</v>
      </c>
    </row>
    <row r="69" spans="1:1">
      <c r="A69" t="s">
        <v>378</v>
      </c>
    </row>
    <row r="70" spans="1:1">
      <c r="A70" t="s">
        <v>379</v>
      </c>
    </row>
    <row r="71" spans="1:1">
      <c r="A71" t="s">
        <v>380</v>
      </c>
    </row>
    <row r="72" spans="1:1">
      <c r="A72" t="s">
        <v>381</v>
      </c>
    </row>
    <row r="73" spans="1:1">
      <c r="A73" t="s">
        <v>382</v>
      </c>
    </row>
    <row r="74" spans="1:1">
      <c r="A74" t="s">
        <v>383</v>
      </c>
    </row>
    <row r="75" spans="1:1">
      <c r="A75" t="s">
        <v>384</v>
      </c>
    </row>
    <row r="76" spans="1:1">
      <c r="A76" t="s">
        <v>385</v>
      </c>
    </row>
    <row r="77" spans="1:1">
      <c r="A77" t="s">
        <v>386</v>
      </c>
    </row>
    <row r="78" spans="1:1">
      <c r="A78" t="s">
        <v>387</v>
      </c>
    </row>
    <row r="79" spans="1:1">
      <c r="A79" t="s">
        <v>388</v>
      </c>
    </row>
    <row r="80" spans="1:1">
      <c r="A80" t="s">
        <v>389</v>
      </c>
    </row>
    <row r="81" spans="1:1">
      <c r="A81" t="s">
        <v>390</v>
      </c>
    </row>
    <row r="82" spans="1:1">
      <c r="A82" t="s">
        <v>391</v>
      </c>
    </row>
    <row r="83" spans="1:1">
      <c r="A83" t="s">
        <v>392</v>
      </c>
    </row>
    <row r="84" spans="1:1">
      <c r="A84" t="s">
        <v>393</v>
      </c>
    </row>
    <row r="85" spans="1:1">
      <c r="A85" t="s">
        <v>394</v>
      </c>
    </row>
    <row r="86" spans="1:1">
      <c r="A86" t="s">
        <v>395</v>
      </c>
    </row>
    <row r="87" spans="1:1">
      <c r="A87" t="s">
        <v>396</v>
      </c>
    </row>
    <row r="88" spans="1:1">
      <c r="A88" t="s">
        <v>397</v>
      </c>
    </row>
    <row r="89" spans="1:1">
      <c r="A89" t="s">
        <v>398</v>
      </c>
    </row>
    <row r="90" spans="1:1">
      <c r="A90" t="s">
        <v>399</v>
      </c>
    </row>
    <row r="91" spans="1:1">
      <c r="A91" t="s">
        <v>400</v>
      </c>
    </row>
    <row r="92" spans="1:1">
      <c r="A92" t="s">
        <v>401</v>
      </c>
    </row>
    <row r="93" spans="1:1">
      <c r="A93" t="s">
        <v>402</v>
      </c>
    </row>
    <row r="94" spans="1:1">
      <c r="A94" t="s">
        <v>403</v>
      </c>
    </row>
    <row r="95" spans="1:1">
      <c r="A95" t="s">
        <v>404</v>
      </c>
    </row>
    <row r="96" spans="1:1">
      <c r="A96" t="s">
        <v>405</v>
      </c>
    </row>
    <row r="97" spans="1:1">
      <c r="A97" t="s">
        <v>406</v>
      </c>
    </row>
    <row r="98" spans="1:1">
      <c r="A98" t="s">
        <v>407</v>
      </c>
    </row>
    <row r="99" spans="1:1">
      <c r="A99" t="s">
        <v>408</v>
      </c>
    </row>
    <row r="100" spans="1:1">
      <c r="A100" t="s">
        <v>409</v>
      </c>
    </row>
    <row r="101" spans="1:1">
      <c r="A101" t="s">
        <v>410</v>
      </c>
    </row>
    <row r="102" spans="1:1">
      <c r="A102" t="s">
        <v>411</v>
      </c>
    </row>
    <row r="103" spans="1:1">
      <c r="A103" t="s">
        <v>412</v>
      </c>
    </row>
    <row r="104" spans="1:1">
      <c r="A104" t="s">
        <v>413</v>
      </c>
    </row>
    <row r="105" spans="1:1">
      <c r="A105" t="s">
        <v>414</v>
      </c>
    </row>
    <row r="106" spans="1:1">
      <c r="A106" t="s">
        <v>415</v>
      </c>
    </row>
    <row r="107" spans="1:1">
      <c r="A107" t="s">
        <v>416</v>
      </c>
    </row>
    <row r="108" spans="1:1">
      <c r="A108" t="s">
        <v>417</v>
      </c>
    </row>
    <row r="109" spans="1:1">
      <c r="A109" t="s">
        <v>418</v>
      </c>
    </row>
    <row r="110" spans="1:1">
      <c r="A110" t="s">
        <v>419</v>
      </c>
    </row>
    <row r="111" spans="1:1">
      <c r="A111" t="s">
        <v>420</v>
      </c>
    </row>
    <row r="112" spans="1:1">
      <c r="A112" t="s">
        <v>421</v>
      </c>
    </row>
    <row r="113" spans="1:1">
      <c r="A113" t="s">
        <v>422</v>
      </c>
    </row>
    <row r="114" spans="1:1">
      <c r="A114" t="s">
        <v>423</v>
      </c>
    </row>
    <row r="115" spans="1:1">
      <c r="A115" t="s">
        <v>424</v>
      </c>
    </row>
    <row r="116" spans="1:1">
      <c r="A116" t="s">
        <v>425</v>
      </c>
    </row>
    <row r="117" spans="1:1">
      <c r="A117" t="s">
        <v>426</v>
      </c>
    </row>
    <row r="118" spans="1:1">
      <c r="A118" t="s">
        <v>427</v>
      </c>
    </row>
    <row r="119" spans="1:1">
      <c r="A119" t="s">
        <v>428</v>
      </c>
    </row>
    <row r="120" spans="1:1">
      <c r="A120" t="s">
        <v>429</v>
      </c>
    </row>
    <row r="121" spans="1:1">
      <c r="A121" t="s">
        <v>430</v>
      </c>
    </row>
    <row r="122" spans="1:1">
      <c r="A122" t="s">
        <v>431</v>
      </c>
    </row>
    <row r="123" spans="1:1">
      <c r="A123" t="s">
        <v>432</v>
      </c>
    </row>
    <row r="124" spans="1:1">
      <c r="A124" t="s">
        <v>433</v>
      </c>
    </row>
    <row r="125" spans="1:1">
      <c r="A125" t="s">
        <v>434</v>
      </c>
    </row>
    <row r="126" spans="1:1">
      <c r="A126" t="s">
        <v>435</v>
      </c>
    </row>
    <row r="127" spans="1:1">
      <c r="A127" t="s">
        <v>436</v>
      </c>
    </row>
    <row r="128" spans="1:1">
      <c r="A128" t="s">
        <v>437</v>
      </c>
    </row>
    <row r="129" spans="1:1">
      <c r="A129" t="s">
        <v>438</v>
      </c>
    </row>
    <row r="130" spans="1:1">
      <c r="A130" t="s">
        <v>439</v>
      </c>
    </row>
    <row r="131" spans="1:1">
      <c r="A131" t="s">
        <v>440</v>
      </c>
    </row>
    <row r="132" spans="1:1">
      <c r="A132" t="s">
        <v>441</v>
      </c>
    </row>
    <row r="133" spans="1:1">
      <c r="A133" t="s">
        <v>442</v>
      </c>
    </row>
    <row r="134" spans="1:1">
      <c r="A134" t="s">
        <v>443</v>
      </c>
    </row>
    <row r="135" spans="1:1">
      <c r="A135" t="s">
        <v>444</v>
      </c>
    </row>
    <row r="136" spans="1:1">
      <c r="A136" t="s">
        <v>445</v>
      </c>
    </row>
    <row r="137" spans="1:1">
      <c r="A137" t="s">
        <v>446</v>
      </c>
    </row>
    <row r="138" spans="1:1">
      <c r="A138" t="s">
        <v>447</v>
      </c>
    </row>
    <row r="139" spans="1:1">
      <c r="A139" t="s">
        <v>448</v>
      </c>
    </row>
    <row r="140" spans="1:1">
      <c r="A140" t="s">
        <v>449</v>
      </c>
    </row>
    <row r="141" spans="1:1">
      <c r="A141" t="s">
        <v>450</v>
      </c>
    </row>
    <row r="142" spans="1:1">
      <c r="A142" t="s">
        <v>451</v>
      </c>
    </row>
    <row r="143" spans="1:1">
      <c r="A143" t="s">
        <v>452</v>
      </c>
    </row>
    <row r="144" spans="1:1">
      <c r="A144" t="s">
        <v>453</v>
      </c>
    </row>
    <row r="145" spans="1:1">
      <c r="A145" t="s">
        <v>454</v>
      </c>
    </row>
    <row r="146" spans="1:1">
      <c r="A146" t="s">
        <v>455</v>
      </c>
    </row>
    <row r="147" spans="1:1">
      <c r="A147" t="s">
        <v>456</v>
      </c>
    </row>
    <row r="148" spans="1:1">
      <c r="A148" t="s">
        <v>457</v>
      </c>
    </row>
    <row r="149" spans="1:1">
      <c r="A149" t="s">
        <v>458</v>
      </c>
    </row>
    <row r="150" spans="1:1">
      <c r="A150" t="s">
        <v>459</v>
      </c>
    </row>
    <row r="151" spans="1:1">
      <c r="A151" t="s">
        <v>460</v>
      </c>
    </row>
    <row r="152" spans="1:1">
      <c r="A152" t="s">
        <v>461</v>
      </c>
    </row>
    <row r="153" spans="1:1">
      <c r="A153" t="s">
        <v>462</v>
      </c>
    </row>
    <row r="154" spans="1:1">
      <c r="A154" t="s">
        <v>463</v>
      </c>
    </row>
    <row r="155" spans="1:1">
      <c r="A155" t="s">
        <v>464</v>
      </c>
    </row>
    <row r="156" spans="1:1">
      <c r="A156" t="s">
        <v>465</v>
      </c>
    </row>
    <row r="157" spans="1:1">
      <c r="A157" t="s">
        <v>466</v>
      </c>
    </row>
    <row r="158" spans="1:1">
      <c r="A158" t="s">
        <v>467</v>
      </c>
    </row>
    <row r="159" spans="1:1">
      <c r="A159" t="s">
        <v>468</v>
      </c>
    </row>
    <row r="160" spans="1:1">
      <c r="A160" t="s">
        <v>469</v>
      </c>
    </row>
    <row r="161" spans="1:1">
      <c r="A161" t="s">
        <v>470</v>
      </c>
    </row>
    <row r="162" spans="1:1">
      <c r="A162" t="s">
        <v>471</v>
      </c>
    </row>
    <row r="163" spans="1:1">
      <c r="A163" t="s">
        <v>472</v>
      </c>
    </row>
    <row r="164" spans="1:1">
      <c r="A164" t="s">
        <v>473</v>
      </c>
    </row>
    <row r="165" spans="1:1">
      <c r="A165" t="s">
        <v>474</v>
      </c>
    </row>
    <row r="166" spans="1:1">
      <c r="A166" t="s">
        <v>475</v>
      </c>
    </row>
    <row r="167" spans="1:1">
      <c r="A167" t="s">
        <v>476</v>
      </c>
    </row>
    <row r="168" spans="1:1">
      <c r="A168" t="s">
        <v>477</v>
      </c>
    </row>
    <row r="169" spans="1:1">
      <c r="A169" t="s">
        <v>478</v>
      </c>
    </row>
    <row r="170" spans="1:1">
      <c r="A170" t="s">
        <v>479</v>
      </c>
    </row>
    <row r="171" spans="1:1">
      <c r="A171" t="s">
        <v>480</v>
      </c>
    </row>
    <row r="172" spans="1:1">
      <c r="A172" t="s">
        <v>481</v>
      </c>
    </row>
    <row r="173" spans="1:1">
      <c r="A173" t="s">
        <v>482</v>
      </c>
    </row>
    <row r="174" spans="1:1">
      <c r="A174" t="s">
        <v>483</v>
      </c>
    </row>
    <row r="175" spans="1:1">
      <c r="A175" t="s">
        <v>484</v>
      </c>
    </row>
    <row r="176" spans="1:1">
      <c r="A176" t="s">
        <v>485</v>
      </c>
    </row>
    <row r="177" spans="1:1">
      <c r="A177" t="s">
        <v>486</v>
      </c>
    </row>
    <row r="178" spans="1:1">
      <c r="A178" t="s">
        <v>487</v>
      </c>
    </row>
    <row r="179" spans="1:1">
      <c r="A179" t="s">
        <v>488</v>
      </c>
    </row>
    <row r="180" spans="1:1">
      <c r="A180" t="s">
        <v>489</v>
      </c>
    </row>
    <row r="181" spans="1:1">
      <c r="A181" t="s">
        <v>490</v>
      </c>
    </row>
    <row r="182" spans="1:1">
      <c r="A182" t="s">
        <v>491</v>
      </c>
    </row>
    <row r="183" spans="1:1">
      <c r="A183" t="s">
        <v>295</v>
      </c>
    </row>
    <row r="184" spans="1:1">
      <c r="A184" t="s">
        <v>296</v>
      </c>
    </row>
  </sheetData>
  <sortState xmlns:xlrd2="http://schemas.microsoft.com/office/spreadsheetml/2017/richdata2" ref="A3:A182">
    <sortCondition ref="A2"/>
  </sortState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7ABA8E-04E9-4A7F-A016-123ADC44C2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8</vt:i4>
      </vt:variant>
    </vt:vector>
  </HeadingPairs>
  <TitlesOfParts>
    <vt:vector size="15" baseType="lpstr">
      <vt:lpstr>S10_検索画面</vt:lpstr>
      <vt:lpstr>S20_設定</vt:lpstr>
      <vt:lpstr>S22_リスト</vt:lpstr>
      <vt:lpstr>S30_元データ</vt:lpstr>
      <vt:lpstr>S40_結果画面</vt:lpstr>
      <vt:lpstr>S50_マスタ</vt:lpstr>
      <vt:lpstr>SQL</vt:lpstr>
      <vt:lpstr>Code1</vt:lpstr>
      <vt:lpstr>Code2</vt:lpstr>
      <vt:lpstr>Code3_1</vt:lpstr>
      <vt:lpstr>Code3_2</vt:lpstr>
      <vt:lpstr>Code3_3</vt:lpstr>
      <vt:lpstr>S20_検索SQL</vt:lpstr>
      <vt:lpstr>S22_リスト</vt:lpstr>
      <vt:lpstr>YOTEI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2023-07-09T14:07:52Z</cp:lastPrinted>
  <dcterms:created xsi:type="dcterms:W3CDTF">2023-02-17T10:28:52Z</dcterms:created>
  <dcterms:modified xsi:type="dcterms:W3CDTF">2023-07-14T14:09:39Z</dcterms:modified>
</cp:coreProperties>
</file>